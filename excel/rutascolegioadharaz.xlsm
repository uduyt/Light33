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20400" windowHeight="7545" activeTab="1"/>
  </bookViews>
  <sheets>
    <sheet name="Censo" sheetId="1" r:id="rId1"/>
    <sheet name="002A" sheetId="2" r:id="rId2"/>
    <sheet name="003B" sheetId="3" r:id="rId3"/>
    <sheet name="004A" sheetId="4" r:id="rId4"/>
    <sheet name="004B" sheetId="6" r:id="rId5"/>
    <sheet name="004D" sheetId="7" r:id="rId6"/>
    <sheet name="005A" sheetId="8" r:id="rId7"/>
    <sheet name="005B" sheetId="9" r:id="rId8"/>
    <sheet name="005D" sheetId="10" r:id="rId9"/>
    <sheet name="006A" sheetId="11" r:id="rId10"/>
    <sheet name="006B" sheetId="12" r:id="rId11"/>
    <sheet name="006C" sheetId="13" r:id="rId12"/>
    <sheet name="006D" sheetId="14" r:id="rId13"/>
    <sheet name="011A" sheetId="15" r:id="rId14"/>
    <sheet name="011B" sheetId="16" r:id="rId15"/>
    <sheet name="012A" sheetId="17" r:id="rId16"/>
    <sheet name="012B" sheetId="18" r:id="rId17"/>
    <sheet name="013A" sheetId="19" r:id="rId18"/>
    <sheet name="014A" sheetId="20" r:id="rId19"/>
    <sheet name="015A" sheetId="21" r:id="rId20"/>
    <sheet name="016A" sheetId="22" r:id="rId21"/>
    <sheet name="021A" sheetId="23" r:id="rId22"/>
  </sheets>
  <externalReferences>
    <externalReference r:id="rId23"/>
  </externalReferences>
  <definedNames>
    <definedName name="_xlnm._FilterDatabase" localSheetId="1" hidden="1">'002A'!$A$5:$E$8</definedName>
    <definedName name="_xlnm._FilterDatabase" localSheetId="0" hidden="1">Censo!$A$5:$I$190</definedName>
    <definedName name="_xlnm.Criteria" localSheetId="1">'002A'!$A$5</definedName>
    <definedName name="_xlnm.Extract" localSheetId="1">'002A'!$A$5:$B$5</definedName>
  </definedNames>
  <calcPr calcId="125725"/>
</workbook>
</file>

<file path=xl/calcChain.xml><?xml version="1.0" encoding="utf-8"?>
<calcChain xmlns="http://schemas.openxmlformats.org/spreadsheetml/2006/main">
  <c r="I188" i="1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A2"/>
  <c r="D1"/>
  <c r="E5" i="7" l="1"/>
  <c r="D5"/>
  <c r="A5"/>
  <c r="A2"/>
  <c r="A2" i="4"/>
  <c r="A2" i="3"/>
  <c r="E5"/>
  <c r="D5"/>
  <c r="A5"/>
  <c r="E5" i="23"/>
  <c r="D5"/>
  <c r="A5"/>
  <c r="A2"/>
  <c r="E5" i="22"/>
  <c r="D5"/>
  <c r="A5"/>
  <c r="A2"/>
  <c r="E5" i="21"/>
  <c r="D5"/>
  <c r="A5"/>
  <c r="A2"/>
  <c r="E5" i="20"/>
  <c r="D5"/>
  <c r="A5"/>
  <c r="A2"/>
  <c r="E5" i="19"/>
  <c r="D5"/>
  <c r="A5"/>
  <c r="A2"/>
  <c r="E5" i="18"/>
  <c r="D5"/>
  <c r="A5"/>
  <c r="A2"/>
  <c r="E5" i="17"/>
  <c r="D5"/>
  <c r="A5"/>
  <c r="A2"/>
  <c r="E5" i="16"/>
  <c r="D5"/>
  <c r="A5"/>
  <c r="A2"/>
  <c r="E5" i="15"/>
  <c r="D5"/>
  <c r="A5"/>
  <c r="A2"/>
  <c r="E5" i="14"/>
  <c r="D5"/>
  <c r="A5"/>
  <c r="A2"/>
  <c r="E5" i="13"/>
  <c r="D5"/>
  <c r="A5"/>
  <c r="A2"/>
  <c r="E5" i="12"/>
  <c r="D5"/>
  <c r="A5"/>
  <c r="A2"/>
  <c r="E5" i="11"/>
  <c r="D5"/>
  <c r="A5"/>
  <c r="A2"/>
  <c r="E5" i="10"/>
  <c r="D5"/>
  <c r="A5"/>
  <c r="A2"/>
  <c r="E5" i="9"/>
  <c r="D5"/>
  <c r="A5"/>
  <c r="A2"/>
  <c r="E5" i="8"/>
  <c r="D5"/>
  <c r="A5"/>
  <c r="A2"/>
  <c r="E5" i="6"/>
  <c r="D5"/>
  <c r="A5"/>
  <c r="A2"/>
  <c r="E5" i="4"/>
  <c r="D5"/>
  <c r="A5"/>
  <c r="E5" i="2"/>
  <c r="D5"/>
  <c r="A5"/>
  <c r="A2"/>
</calcChain>
</file>

<file path=xl/sharedStrings.xml><?xml version="1.0" encoding="utf-8"?>
<sst xmlns="http://schemas.openxmlformats.org/spreadsheetml/2006/main" count="1435" uniqueCount="459">
  <si>
    <t>Viaje</t>
  </si>
  <si>
    <t>Sec.</t>
  </si>
  <si>
    <t>Descripción parada</t>
  </si>
  <si>
    <t>Nombre del alumno</t>
  </si>
  <si>
    <t>Tel. Padre</t>
  </si>
  <si>
    <t>Tel. Madre</t>
  </si>
  <si>
    <t>004B</t>
  </si>
  <si>
    <t>5-  Glorieta Avda. de los Olmos</t>
  </si>
  <si>
    <t>BARQUERO GARCÍA, CARLOS</t>
  </si>
  <si>
    <t>011B</t>
  </si>
  <si>
    <t>BARQUERO GARCÍA, CLARA</t>
  </si>
  <si>
    <t>006A</t>
  </si>
  <si>
    <t>DONADO BO-BOLIKO, LEA</t>
  </si>
  <si>
    <t>954 182457,667044775,</t>
  </si>
  <si>
    <t>954 182457,666646704,</t>
  </si>
  <si>
    <t>005A</t>
  </si>
  <si>
    <t>MILLAN TORRICO, FERNANDO</t>
  </si>
  <si>
    <t>955439818,607460752,</t>
  </si>
  <si>
    <t>955439818,696413129,</t>
  </si>
  <si>
    <t>006C</t>
  </si>
  <si>
    <t>4- Rotonda Ciudad Expo Metromar</t>
  </si>
  <si>
    <t>CARDESA ABAURREA, MARIA CARMEN</t>
  </si>
  <si>
    <t>954181190,667473087,</t>
  </si>
  <si>
    <t>954181190,607769457,</t>
  </si>
  <si>
    <t>005D</t>
  </si>
  <si>
    <t>CARDESA ABAURREA, RAFAEL</t>
  </si>
  <si>
    <t>HIDALGO BOLIVAR, BLANCA</t>
  </si>
  <si>
    <t>954184369,955600797,609903501,</t>
  </si>
  <si>
    <t>954184369,609903502,</t>
  </si>
  <si>
    <t>021A</t>
  </si>
  <si>
    <t>HIDALGO BOLIVAR, PATRICIA</t>
  </si>
  <si>
    <t>014A</t>
  </si>
  <si>
    <t>TORRES RUIZ, LAURA</t>
  </si>
  <si>
    <t>955087981,685109698,</t>
  </si>
  <si>
    <t>955087981,606962845,</t>
  </si>
  <si>
    <t>016A</t>
  </si>
  <si>
    <t>3- C/ Ciaurriz (rotonda Avda de los Pinos)</t>
  </si>
  <si>
    <t>MARTÍN MONCAYO, CLAUDIA</t>
  </si>
  <si>
    <t>954187009,954187009,670850950,</t>
  </si>
  <si>
    <t>954187009,607969585,</t>
  </si>
  <si>
    <t>RUIZ JIMÉNEZ DE CISNEROS, PILAR</t>
  </si>
  <si>
    <t>955601448,954331662,605892838,</t>
  </si>
  <si>
    <t>955601448,954560769,670709985,</t>
  </si>
  <si>
    <t>2- C/ Muérdago (esquina C/ Valle colorado)</t>
  </si>
  <si>
    <t>AGUILAR VIÑALS, ANTONIO</t>
  </si>
  <si>
    <t>954224625,954224625,609583792,</t>
  </si>
  <si>
    <t>954224625,687906479,</t>
  </si>
  <si>
    <t>013A</t>
  </si>
  <si>
    <t>AGUILAR VIÑALS, CARMEN</t>
  </si>
  <si>
    <t>AGUILAR VIÑALS, JULIAN</t>
  </si>
  <si>
    <t>006D</t>
  </si>
  <si>
    <t>LARA QUESADA, FERNANDO</t>
  </si>
  <si>
    <t>954281024,954287315,649292450,</t>
  </si>
  <si>
    <t>954281024,954183954,696987375,</t>
  </si>
  <si>
    <t>MORA FACES, AMAYA</t>
  </si>
  <si>
    <t>954183712,669444982,</t>
  </si>
  <si>
    <t>954183712,649846175,</t>
  </si>
  <si>
    <t>1- Ava. Méjico esq. C/ Uruguay</t>
  </si>
  <si>
    <t>CARO DE LA ROSA, CARLOS</t>
  </si>
  <si>
    <t>955762067,673424923,</t>
  </si>
  <si>
    <t>GIRALDEZ AGUILAR , ADRIANA MARÍA</t>
  </si>
  <si>
    <t>954182055,954330100,610576310,</t>
  </si>
  <si>
    <t>954182055,661451030,</t>
  </si>
  <si>
    <t>015A</t>
  </si>
  <si>
    <t>GIRALDEZ AGUILAR, LEONOR</t>
  </si>
  <si>
    <t>GOMEZ BANCALERO, FATIMA</t>
  </si>
  <si>
    <t>MORENO GARCIA DE POLAVIEJA, ALVARO</t>
  </si>
  <si>
    <t>954180831,610778637,</t>
  </si>
  <si>
    <t>954180831,955043917,627910578,</t>
  </si>
  <si>
    <t>7- Glorieta del Parque Real (cartel del parque)</t>
  </si>
  <si>
    <t>NESTAL LEON, SERGIO</t>
  </si>
  <si>
    <t>954716748,609032849,</t>
  </si>
  <si>
    <t>954716748,633083107,</t>
  </si>
  <si>
    <t>4- Glorieta Gonzalo Torrente Ballester</t>
  </si>
  <si>
    <t>ALVAREZ NIETO, CRISTINA</t>
  </si>
  <si>
    <t>954155343,690614872,</t>
  </si>
  <si>
    <t>954155343,600578028,</t>
  </si>
  <si>
    <t>012B</t>
  </si>
  <si>
    <t>ALVAREZ NIETO, INES</t>
  </si>
  <si>
    <t>CARRERO RAMOS, CARMEN MARIA</t>
  </si>
  <si>
    <t>954153713,670941581,</t>
  </si>
  <si>
    <t>954153713,630978935,</t>
  </si>
  <si>
    <t>004D</t>
  </si>
  <si>
    <t>CARRERO RAMOS, GONZALO</t>
  </si>
  <si>
    <t>005B</t>
  </si>
  <si>
    <t>DE MATA DÍEZ, MANUEL</t>
  </si>
  <si>
    <t>011A</t>
  </si>
  <si>
    <t>DE MATA DÍEZ, MARÍA</t>
  </si>
  <si>
    <t>HERNANDEZ DOMINGUEZ, INES</t>
  </si>
  <si>
    <t>954156982,660980423,655453752,</t>
  </si>
  <si>
    <t>954156982,954798380,655453751,</t>
  </si>
  <si>
    <t>JIMÉNEZ PARRA, ALVARO</t>
  </si>
  <si>
    <t>JIMÉNEZ PARRA, GONZALO</t>
  </si>
  <si>
    <t>NAVAJAS CAPELLÁN, BEGOÑA</t>
  </si>
  <si>
    <t>95415703,954183244,647652843,</t>
  </si>
  <si>
    <t>95415703,954997223,666565461,</t>
  </si>
  <si>
    <t>NAVAJAS CAPELLAN, TERESA</t>
  </si>
  <si>
    <t>ORTÍZ CAMACHO, ANGELES</t>
  </si>
  <si>
    <t>PÉREZ FERNÁNDEZ-SHAW, JUAN MANUEL</t>
  </si>
  <si>
    <t>954154436,671564629,</t>
  </si>
  <si>
    <t>954154436,671594284,</t>
  </si>
  <si>
    <t>RODRIGUEZ DE TRUJILLO SANTALO, JAVIER</t>
  </si>
  <si>
    <t>954157523,620660146,</t>
  </si>
  <si>
    <t>954157523,656969695,</t>
  </si>
  <si>
    <t>003B</t>
  </si>
  <si>
    <t>RODRIGUEZ DE TRUJILLO SANTALO, MARÍA</t>
  </si>
  <si>
    <t>SIGUERO CANSINO, BERTA</t>
  </si>
  <si>
    <t>954156565,609348515,</t>
  </si>
  <si>
    <t>954156565,629432526,</t>
  </si>
  <si>
    <t>004A</t>
  </si>
  <si>
    <t>3- Camino de Villamanrique (esquina Concejal A.Jimen)</t>
  </si>
  <si>
    <t>CRESPO CALDERÓN, JUAN</t>
  </si>
  <si>
    <t>954157344,629611392,629611392,</t>
  </si>
  <si>
    <t>954157344,657103171,</t>
  </si>
  <si>
    <t>FELIU TOURON-FIGUEROA, ANA</t>
  </si>
  <si>
    <t>954159370,670690234,</t>
  </si>
  <si>
    <t>954159370,954159370,630836180,</t>
  </si>
  <si>
    <t>FELIÚ TOURÓN-FIGUEROA, PABLO</t>
  </si>
  <si>
    <t>ORÍA JIMÉNEZ, BEATRÍZ</t>
  </si>
  <si>
    <t>954156326,917245903,677932432,</t>
  </si>
  <si>
    <t>954156326,954632236,655895561,</t>
  </si>
  <si>
    <t>2- Glorieta de la Cartuja</t>
  </si>
  <si>
    <t>HERNÁNDEZ DEL REY, GONZALO</t>
  </si>
  <si>
    <t>954632559,954489348,619258652,954489349,</t>
  </si>
  <si>
    <t>954632559,954559943,616901791,</t>
  </si>
  <si>
    <t>1- Metro San Juan Alto (parada bus)</t>
  </si>
  <si>
    <t>RUBIO DE LA PEÑA, ELVIRA</t>
  </si>
  <si>
    <t>006B</t>
  </si>
  <si>
    <t>RUBIO DE LA PEÑA, JULIO</t>
  </si>
  <si>
    <t>RUBIO DE LA PEÑA, LAURA</t>
  </si>
  <si>
    <t>6- C/ Ramón Carande nº 1 (Ed. Maz)</t>
  </si>
  <si>
    <t>GARCIA GOMEZ, GONZALO</t>
  </si>
  <si>
    <t>954709465,954/42/08/11,610738785,</t>
  </si>
  <si>
    <t>954709465,661022007,</t>
  </si>
  <si>
    <t>GARCÍA GONZÁLEZ, DANIEL</t>
  </si>
  <si>
    <t>954424857,666566214,</t>
  </si>
  <si>
    <t>954424857,667647446,667700080,</t>
  </si>
  <si>
    <t>JURADO BOEDO, BELÉN</t>
  </si>
  <si>
    <t>954425359,600512549,</t>
  </si>
  <si>
    <t>954425359,954990632,627770478,</t>
  </si>
  <si>
    <t>JURADO BOEDO, CARMEN</t>
  </si>
  <si>
    <t>ROCHE PEREZ, CELIA</t>
  </si>
  <si>
    <t>012A</t>
  </si>
  <si>
    <t>SANTOS MOYA, REYES</t>
  </si>
  <si>
    <t>ZAPATA GONZÁLEZ DE CANALES, BLANCA</t>
  </si>
  <si>
    <t>954413028,954211100,609593277,</t>
  </si>
  <si>
    <t>5- Avd/ Buhaira (Zurich Seguros)</t>
  </si>
  <si>
    <t>FERNANDEZ-MONTES MORENO, MIRIAM</t>
  </si>
  <si>
    <t>954921438,616664240,</t>
  </si>
  <si>
    <t>954921438,616664247,</t>
  </si>
  <si>
    <t>4- C/ Camilo José Cela (frente Ed Catalana)</t>
  </si>
  <si>
    <t>BERNAL GONZALEZ, MARTA</t>
  </si>
  <si>
    <t>954920525,656859869,</t>
  </si>
  <si>
    <t>954920525,639550676,</t>
  </si>
  <si>
    <t>PIÑA MERINO, ANGELA</t>
  </si>
  <si>
    <t>3- San Francisco Javier esquina Eduardo Dato(Antojos)</t>
  </si>
  <si>
    <t>GONZALEZ MARTIN, IGNACIO</t>
  </si>
  <si>
    <t>954652776,620897594,</t>
  </si>
  <si>
    <t>954652776,607917355,</t>
  </si>
  <si>
    <t>GONZALEZ MARTIN, MARTA</t>
  </si>
  <si>
    <t>002A</t>
  </si>
  <si>
    <t>MUÑÍZ CAMPOS, BOSCO</t>
  </si>
  <si>
    <t>MUÑÍZ CAMPOS, IGANCIO</t>
  </si>
  <si>
    <t>SANTANA LORENZO, MARIA</t>
  </si>
  <si>
    <t>954572806,609381110,</t>
  </si>
  <si>
    <t>954572806,619510357,</t>
  </si>
  <si>
    <t>2- C/ Luis de Morales (C.C. Nervión Plaza)</t>
  </si>
  <si>
    <t>ALONSO CIVANTOS, MARTA</t>
  </si>
  <si>
    <t>954582605,661867295,</t>
  </si>
  <si>
    <t>954582605,680699939,</t>
  </si>
  <si>
    <t>YBARRA AYA, JAIME</t>
  </si>
  <si>
    <t>954455998,600576331,954280388,</t>
  </si>
  <si>
    <t>954990790,600576332,954271731,</t>
  </si>
  <si>
    <t>YBARRA AYA, PATRICIA</t>
  </si>
  <si>
    <t>8- Urb. Colina Blanca</t>
  </si>
  <si>
    <t>MARTÍNEZ DÍAZ, INÉS</t>
  </si>
  <si>
    <t>954093323,954937676,652079880,</t>
  </si>
  <si>
    <t>954093323,955008305,652076892,</t>
  </si>
  <si>
    <t>MARTÍNEZ DÍAZ, PILAR</t>
  </si>
  <si>
    <t>7- Glorieta del Salado (parada bus)</t>
  </si>
  <si>
    <t>VARGAS NARANJO, REYES</t>
  </si>
  <si>
    <t>954159285,627954861,</t>
  </si>
  <si>
    <t>954159285,666568999,</t>
  </si>
  <si>
    <t>5- C/ Triana Nº1</t>
  </si>
  <si>
    <t>FELICES RAMOS, MARTINA</t>
  </si>
  <si>
    <t>954159467,600443108,</t>
  </si>
  <si>
    <t>954159467,649313910,</t>
  </si>
  <si>
    <t>MÁRQUEZ DELGADO, IGNACIO</t>
  </si>
  <si>
    <t>954152709,630946821,</t>
  </si>
  <si>
    <t>954152709,655770388,</t>
  </si>
  <si>
    <t>MÁRQUEZ DELGADO, JAVIER</t>
  </si>
  <si>
    <t>TORRES FERNÁNDEZ, GONZALO</t>
  </si>
  <si>
    <t>9544157863,607556087,607556087,</t>
  </si>
  <si>
    <t>9544157863,954930375,691362303,</t>
  </si>
  <si>
    <t>TORRES FERNANDEZ, RODRIGO</t>
  </si>
  <si>
    <t>4- C/ Altozano (Polideportivo)</t>
  </si>
  <si>
    <t>ARANDA SOLIS, CARMEN</t>
  </si>
  <si>
    <t>ARANDA SOLIS, MANUELA</t>
  </si>
  <si>
    <t>CARRASCO MARTIN, CRISTINA</t>
  </si>
  <si>
    <t>954150828,600422720,</t>
  </si>
  <si>
    <t>954150828,667435441,</t>
  </si>
  <si>
    <t>CARRASCO MARTIN, MARIA</t>
  </si>
  <si>
    <t>ESTEVEZ INFANTE, JULIA</t>
  </si>
  <si>
    <t>MOYA FERNANDEZ, ANA</t>
  </si>
  <si>
    <t>954155149,616497858,</t>
  </si>
  <si>
    <t>954155149,669445011,</t>
  </si>
  <si>
    <t>OVIEDO MELLADO, PABLO</t>
  </si>
  <si>
    <t>954153627,954210205,662105134,</t>
  </si>
  <si>
    <t>954153627,680422006,</t>
  </si>
  <si>
    <t>3- Avd Menéndez Pelayo (frente Horno San Bernardo)</t>
  </si>
  <si>
    <t>PASTOR DELA VEGA, ABRIL FABIOLA</t>
  </si>
  <si>
    <t>954229911,606825180,</t>
  </si>
  <si>
    <t>954229911,639073333,</t>
  </si>
  <si>
    <t>2- Puerta Carmona (frente Farmacia)</t>
  </si>
  <si>
    <t>TOVARUELA GARCÍA, MARÍA</t>
  </si>
  <si>
    <t>1- Plaza Ponce de León (frente Horno San Buenaventura</t>
  </si>
  <si>
    <t>CLAVERO LÓPEZ, ROCÍO</t>
  </si>
  <si>
    <t>954380383,699948565,</t>
  </si>
  <si>
    <t>DE INSAUSTI CASTELLANO, IGNACIO</t>
  </si>
  <si>
    <t>954228400,619036225,</t>
  </si>
  <si>
    <t>954228400,628195187,</t>
  </si>
  <si>
    <t>JULI SANTOS, ANA</t>
  </si>
  <si>
    <t>954215261,648778952,</t>
  </si>
  <si>
    <t>954215261,669534460,</t>
  </si>
  <si>
    <t>MARTIN IÑIGUEZ, CLARA</t>
  </si>
  <si>
    <t>954212467,686821486,</t>
  </si>
  <si>
    <t>6- C/ Marqués de Paradas (Farmacia)</t>
  </si>
  <si>
    <t>ARIAS BARRENAS, BEGOÑA</t>
  </si>
  <si>
    <t>954089036,619546856,</t>
  </si>
  <si>
    <t>954089036,655795721,</t>
  </si>
  <si>
    <t>ARIAS BARRENAS, MARIA</t>
  </si>
  <si>
    <t>ROSALES CAÑETE, LUIS</t>
  </si>
  <si>
    <t>954216518,650973398,</t>
  </si>
  <si>
    <t>954216518,630947395,</t>
  </si>
  <si>
    <t>VEGA MORENO, ISABEL</t>
  </si>
  <si>
    <t>VEGA MORENO, LUCÍA</t>
  </si>
  <si>
    <t>5- C/ Torneo (Gasolinera)</t>
  </si>
  <si>
    <t>ALBUGER CASTILLA, ALEJANDRO</t>
  </si>
  <si>
    <t>.,</t>
  </si>
  <si>
    <t>649525882,649525882,</t>
  </si>
  <si>
    <t>CORRAL MORILLO, PABLO</t>
  </si>
  <si>
    <t>955013068,627001749,954232592,</t>
  </si>
  <si>
    <t>954998250,617570002,954998251,</t>
  </si>
  <si>
    <t>CORRAL MORILLO, REYES</t>
  </si>
  <si>
    <t>MARIN GOMEZ, PABLO</t>
  </si>
  <si>
    <t>666580275,666580275,</t>
  </si>
  <si>
    <t>605179946,605179946,</t>
  </si>
  <si>
    <t>PARRA BULLÓN, ASUNCIÓN</t>
  </si>
  <si>
    <t>PAYO AGUILERA, MENCIA</t>
  </si>
  <si>
    <t>4- C/ Torneo (esquina San Juan, frente bus)</t>
  </si>
  <si>
    <t>CARMONA MARTIN, BLANCA</t>
  </si>
  <si>
    <t>CARMONA MARTIN, IGNACIO</t>
  </si>
  <si>
    <t>MARTIN-HIDALGO QUERALT, ANA ROSA</t>
  </si>
  <si>
    <t>666467923,647655986,</t>
  </si>
  <si>
    <t>MARTIN-HIDALGO QUERALT, JUAN MANUEL</t>
  </si>
  <si>
    <t>3- Avda Concejal Alberto Jiménez Bec (C/Jose Díaz)</t>
  </si>
  <si>
    <t>DURAN GARCIA, DIANA</t>
  </si>
  <si>
    <t>954907972,699092551,</t>
  </si>
  <si>
    <t>954907972,670050563,</t>
  </si>
  <si>
    <t>DURAN GARCIA, PALOMA</t>
  </si>
  <si>
    <t>2- Avda. de Llanes esquina San Juan de la Salle</t>
  </si>
  <si>
    <t>RICO DELGADO, ESPERANZA</t>
  </si>
  <si>
    <t>954357729,670703773,</t>
  </si>
  <si>
    <t>7- Avda. Adolfo Suárez Club Mercantil</t>
  </si>
  <si>
    <t>DEL VALLE PEREZ DE OLAGUER, ALBERTO</t>
  </si>
  <si>
    <t>610511387,610512278,</t>
  </si>
  <si>
    <t>DEL VALLE PEREZ DE OLAGUER, MARTA</t>
  </si>
  <si>
    <t>ESCAMILLA CASTELLO, CLARA</t>
  </si>
  <si>
    <t>.,619415577,</t>
  </si>
  <si>
    <t>.,667401377,</t>
  </si>
  <si>
    <t>ESCAMILLA CASTELLO, MARTA</t>
  </si>
  <si>
    <t>ESCAMILLA CASTELLÓ, ROBERTO</t>
  </si>
  <si>
    <t>RODRÍGUEZ VELASTEGUI, BELTRÁN</t>
  </si>
  <si>
    <t>954281132,954638339,649090856,</t>
  </si>
  <si>
    <t>954281132,699956556,</t>
  </si>
  <si>
    <t>RODRÍGUEZ VELASTEGUI, CARLOTA</t>
  </si>
  <si>
    <t>SANTOS TUDÓ, MARÍA</t>
  </si>
  <si>
    <t>687597411,657350165,</t>
  </si>
  <si>
    <t xml:space="preserve">6- C/ Virgen de Luján (Bar Málaga) </t>
  </si>
  <si>
    <t>AGUAYO HIDALGO, ALICIA</t>
  </si>
  <si>
    <t>954274271,954629781,629791624,</t>
  </si>
  <si>
    <t>954274271,645028786,</t>
  </si>
  <si>
    <t>GAMEZ COLLANTES DE TERAN, LETICIA</t>
  </si>
  <si>
    <t>954274812,914862990,619623741,</t>
  </si>
  <si>
    <t>954274812,956037053,696909677,</t>
  </si>
  <si>
    <t>GAMEZ COLLANTES DE TERAN, MªJOSE</t>
  </si>
  <si>
    <t>GONZÁLEZ OSUNA, MERCEDES</t>
  </si>
  <si>
    <t>954274431,954274431,607446522,</t>
  </si>
  <si>
    <t>JIMÉNEZ RODRÍGUEZ-CASO, ANA MARÍA</t>
  </si>
  <si>
    <t>954453207,955942079,687521853,</t>
  </si>
  <si>
    <t>954453207,955942079,647626782,</t>
  </si>
  <si>
    <t>JIMÉNEZ RODRÍGUEZ-CASO, CARMEN</t>
  </si>
  <si>
    <t>RODRÍGUEZ JIMÉNEZ, CARLOTA</t>
  </si>
  <si>
    <t>954271204,955658753,670613242,955658760,</t>
  </si>
  <si>
    <t>954271204,608730037,</t>
  </si>
  <si>
    <t>5- C/ Virgen de Luján ( frente Chocolatería)</t>
  </si>
  <si>
    <t>CHARLO ARROYO, IRENE</t>
  </si>
  <si>
    <t>CHARLO ARROYO, TERESA</t>
  </si>
  <si>
    <t>DE LAS HERAS TUDO, PAULA</t>
  </si>
  <si>
    <t>615236239,615236239,</t>
  </si>
  <si>
    <t>625390391,625390391,</t>
  </si>
  <si>
    <t>GONZÁLEZ-SANTIAGO GARCÍA, REYES</t>
  </si>
  <si>
    <t>4- C/ República Argentina Vips</t>
  </si>
  <si>
    <t>ABAURRE TRUJILLO, ANGELA</t>
  </si>
  <si>
    <t>BACHILLER ROMERO, JOAQUÍN</t>
  </si>
  <si>
    <t>954082430,695221824,</t>
  </si>
  <si>
    <t>954082430,667528680,</t>
  </si>
  <si>
    <t>BOIX MOYA, FÁTIMA</t>
  </si>
  <si>
    <t>959281880,609135674,</t>
  </si>
  <si>
    <t>959281880,609906867,</t>
  </si>
  <si>
    <t>BOIX MOYA, ROCÍO</t>
  </si>
  <si>
    <t>BOIX MOYA, TERESA</t>
  </si>
  <si>
    <t>FERNANDEZ DÍAZ, MARIA</t>
  </si>
  <si>
    <t>954451883,699462504,</t>
  </si>
  <si>
    <t>954451883,654173265,</t>
  </si>
  <si>
    <t>MARQUEZ LOPEZ, ROCIO</t>
  </si>
  <si>
    <t>PORTILLA FUENTES , JUAN</t>
  </si>
  <si>
    <t>PORTILLA FUENTES, ALMUDENA</t>
  </si>
  <si>
    <t>3- Plaza de Cuba Parada de Taxis</t>
  </si>
  <si>
    <t>ALLUE BALLESTER, BELÉN</t>
  </si>
  <si>
    <t>954004148,954532549,607541613,</t>
  </si>
  <si>
    <t>954004148,954999216,617419388,</t>
  </si>
  <si>
    <t>ALLUE BALLESTER, JOSE LUIS</t>
  </si>
  <si>
    <t>ALLUE BALLESTER, LUCÍA</t>
  </si>
  <si>
    <t>ALLUE BALLESTER, PILAR</t>
  </si>
  <si>
    <t>ORTIZ PAREJO, ALEJANDRA</t>
  </si>
  <si>
    <t>PEREZ MARAÑON, MAR</t>
  </si>
  <si>
    <t>PEREZ MARAÑON, RAFAEL</t>
  </si>
  <si>
    <t>PEREZ PAREJO, IGNACIO</t>
  </si>
  <si>
    <t>1- Teatro de la Maestranza</t>
  </si>
  <si>
    <t>GARCIA SANCHEZ - OSORIO, AFRICA</t>
  </si>
  <si>
    <t>GARCIA SANCHEZ - OSORIO, MARIA TERESA</t>
  </si>
  <si>
    <t>2- C/ Cardenal Bueno Monreal</t>
  </si>
  <si>
    <t>REBOLLO PADURA, MARINA</t>
  </si>
  <si>
    <t>954097429,667700655,</t>
  </si>
  <si>
    <t>954097429,667700651,</t>
  </si>
  <si>
    <t>ROJAS PADURA, ALEJANDRA</t>
  </si>
  <si>
    <t>ROJAS PADURA, BLANCA</t>
  </si>
  <si>
    <t>SEGOVIA ARGUDO, BELÉN</t>
  </si>
  <si>
    <t>.,954592565,607490936,</t>
  </si>
  <si>
    <t>.,620425291,</t>
  </si>
  <si>
    <t>SEGOVIA ARGUDO, CARLA</t>
  </si>
  <si>
    <t>SEGOVIA ARGUDO, MIGUEL IGNACIO</t>
  </si>
  <si>
    <t>VALVERDE FERIA, BLANCA</t>
  </si>
  <si>
    <t>1- C/ Ramón Carande Cartel Master Propiedad</t>
  </si>
  <si>
    <t>CARRASCO MATAIX, ENRIQUE</t>
  </si>
  <si>
    <t>954530947,669398018,</t>
  </si>
  <si>
    <t>954530947,616028930,</t>
  </si>
  <si>
    <t>DOMINGUEZ CARRILLO, JORGE</t>
  </si>
  <si>
    <t>954237023,650376966,</t>
  </si>
  <si>
    <t>GARCIA CALVO, CAROLINA</t>
  </si>
  <si>
    <t>954420242,659555152,</t>
  </si>
  <si>
    <t>954420242,618264099,</t>
  </si>
  <si>
    <t>GARCIA CALVO, MARTA</t>
  </si>
  <si>
    <t>GUTIERREZ CIA, MARIOLA</t>
  </si>
  <si>
    <t>954232358,959246962,608658578,</t>
  </si>
  <si>
    <t>954232358,954638133,620858765,</t>
  </si>
  <si>
    <t>IBAÑEZ HERRERO, MARINA</t>
  </si>
  <si>
    <t>954637724,630160161,</t>
  </si>
  <si>
    <t>954637724,954990071,669150115,</t>
  </si>
  <si>
    <t>MOLINA MORENO, MARTA</t>
  </si>
  <si>
    <t>OSUNA MUÑOZ, JACOBO</t>
  </si>
  <si>
    <t>954701314,954520427,670669204,</t>
  </si>
  <si>
    <t>954701314,687766483,</t>
  </si>
  <si>
    <t>SANTOS FERNÁNDEZ, ANTONIO</t>
  </si>
  <si>
    <t>954514659,660489347,</t>
  </si>
  <si>
    <t>954514659,650416654,</t>
  </si>
  <si>
    <t>SANTOS FERNÁNDEZ, INES</t>
  </si>
  <si>
    <t>SANTOS FERNÁNDEZ, MACARENA</t>
  </si>
  <si>
    <t>3- Avda de la Palmera Nº 32º</t>
  </si>
  <si>
    <t>PARLADÉ SALAS, ADRIANA</t>
  </si>
  <si>
    <t>954626084,955762844,627955798,</t>
  </si>
  <si>
    <t>954626084,954559163,667572903,</t>
  </si>
  <si>
    <t>PARLADÉ SALAS, ANGEL</t>
  </si>
  <si>
    <t>ROJAS MORENO, MARTA</t>
  </si>
  <si>
    <t>954701135,626302243,</t>
  </si>
  <si>
    <t>954701135,695702941,</t>
  </si>
  <si>
    <t>4- C/ García Tejero frente Campo del Betis</t>
  </si>
  <si>
    <t>DIAZ QUINTERO, HELENA</t>
  </si>
  <si>
    <t>955103258,658938262,</t>
  </si>
  <si>
    <t>955103258,699302887,</t>
  </si>
  <si>
    <t>DIAZ QUINTERO, MIRIAM</t>
  </si>
  <si>
    <t>GARCÍA LAÍNEZ, CARLA</t>
  </si>
  <si>
    <t>.,610510937,610510937,</t>
  </si>
  <si>
    <t>.,610519958,610519958,</t>
  </si>
  <si>
    <t>TERRY BLAZQUEZ, JUAN PEDRO</t>
  </si>
  <si>
    <t>954095177,609465990,</t>
  </si>
  <si>
    <t>954095177,607187938,</t>
  </si>
  <si>
    <t>5- Univ. Salamanca esq Avda. San Juan de Dios</t>
  </si>
  <si>
    <t>GUERRERO FELICES, JORGE</t>
  </si>
  <si>
    <t>954788994,686972865,679981564,</t>
  </si>
  <si>
    <t>954788994,696972724,</t>
  </si>
  <si>
    <t>SOTO ALONSO, ANA</t>
  </si>
  <si>
    <t>954713933,638222577,</t>
  </si>
  <si>
    <t>954713933,686462347,</t>
  </si>
  <si>
    <t>4- C/ Begoñia Nº 30</t>
  </si>
  <si>
    <t>DEL POZO BARRENA, ANA MARIA</t>
  </si>
  <si>
    <t>954156591,954151751,607648880,</t>
  </si>
  <si>
    <t>954156591,666469819,</t>
  </si>
  <si>
    <t>DEL POZO BARRENA, CARLOTA</t>
  </si>
  <si>
    <t>PRESA REYES, HUGO</t>
  </si>
  <si>
    <t>955722174,678000000,</t>
  </si>
  <si>
    <t>955722174,661060606,</t>
  </si>
  <si>
    <t>PRESA REYES, MARIANO</t>
  </si>
  <si>
    <t>TARNO MONTIEL, ELISA</t>
  </si>
  <si>
    <t>TORTOSA FERRARO, BERTA</t>
  </si>
  <si>
    <t>955722398,971745020,649965578,</t>
  </si>
  <si>
    <t>955722398,902508525,649965571,</t>
  </si>
  <si>
    <t>TORTOSA FERRARO, MARTINA</t>
  </si>
  <si>
    <t>TORTOSA FERRARO, MENCIA</t>
  </si>
  <si>
    <t>3- C/ Begoñia 1º rotonda</t>
  </si>
  <si>
    <t>DUQUE SANCHEZ-MIRA, LETICIA</t>
  </si>
  <si>
    <t>955722159,606119033,</t>
  </si>
  <si>
    <t>955722159,696904626,</t>
  </si>
  <si>
    <t>MARTIN SUAREZ, AITANA</t>
  </si>
  <si>
    <t>955726580,615505500,</t>
  </si>
  <si>
    <t>955726580,627472646,</t>
  </si>
  <si>
    <t>MARTIN SUAREZ, ANTONIO</t>
  </si>
  <si>
    <t xml:space="preserve">2- Rotonda Avda. Mariana de Pineda </t>
  </si>
  <si>
    <t>MARTÍN CORTÉS, LOLA</t>
  </si>
  <si>
    <t>955609555,639145789,</t>
  </si>
  <si>
    <t>955609555,636396244,</t>
  </si>
  <si>
    <t>MARTIN CORTES, MARIA JOSE</t>
  </si>
  <si>
    <t>MUÑOZ LOPEZ-BELLIDO, COVADONGA</t>
  </si>
  <si>
    <t>955609678,616201963,</t>
  </si>
  <si>
    <t>955609678,615646867,</t>
  </si>
  <si>
    <t>MUÑOZ LÓPEZ-BELLIDO, MARÍA DOLORES</t>
  </si>
  <si>
    <t>Ruta de hoy, vuelta</t>
  </si>
  <si>
    <t xml:space="preserve">Clave: </t>
  </si>
  <si>
    <t>x = no va en ninguna ruta</t>
  </si>
  <si>
    <t>número (1-8) = nueva ruta del alumno</t>
  </si>
  <si>
    <t>ruta habitual</t>
  </si>
  <si>
    <t>Ruta de hoy,vuelta</t>
  </si>
  <si>
    <t>Ruta habitual</t>
  </si>
  <si>
    <t>Clase: 002A</t>
  </si>
  <si>
    <t>Clase: 003B</t>
  </si>
  <si>
    <t>Clase: 004A</t>
  </si>
  <si>
    <t>Clase: 004B</t>
  </si>
  <si>
    <t>Clase: 004D</t>
  </si>
  <si>
    <t>Clase: 005A</t>
  </si>
  <si>
    <t>Clase: 005B</t>
  </si>
  <si>
    <t xml:space="preserve"> </t>
  </si>
  <si>
    <t>Clase: 005D</t>
  </si>
  <si>
    <t>Clase: 006A</t>
  </si>
  <si>
    <t>Clase: 006B</t>
  </si>
  <si>
    <t>Clase: 006C</t>
  </si>
  <si>
    <t>Clase: 006D</t>
  </si>
  <si>
    <t>Clase: 011A</t>
  </si>
  <si>
    <t>Clase: 011B</t>
  </si>
  <si>
    <t>CAMBIOS HOY</t>
  </si>
  <si>
    <t>Crea alumno con un 0 en ruta habitual</t>
  </si>
  <si>
    <t>954380383,617802846,954210929,</t>
  </si>
  <si>
    <t>954159382,696363378,955601041,</t>
  </si>
  <si>
    <t>954159382,607407307,607407307,</t>
  </si>
  <si>
    <t>954413028,954296609,630752485,</t>
  </si>
  <si>
    <t>Clave:</t>
  </si>
  <si>
    <t>No va hoy</t>
  </si>
  <si>
    <t>Cambio de ruta</t>
  </si>
  <si>
    <t>Esporádico</t>
  </si>
</sst>
</file>

<file path=xl/styles.xml><?xml version="1.0" encoding="utf-8"?>
<styleSheet xmlns="http://schemas.openxmlformats.org/spreadsheetml/2006/main">
  <numFmts count="1">
    <numFmt numFmtId="164" formatCode="&quot;colegio Adharaz a &quot;dddd\,d\ &quot;de&quot;\ mmmm\ &quot;de&quot;\ yyyy"/>
  </numFmts>
  <fonts count="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sz val="9"/>
      <color rgb="FF08080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2" fillId="0" borderId="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8" xfId="0" applyFont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/>
    </xf>
    <xf numFmtId="0" fontId="4" fillId="0" borderId="1" xfId="0" applyFont="1" applyBorder="1" applyAlignment="1">
      <alignment vertical="center" wrapText="1"/>
    </xf>
    <xf numFmtId="164" fontId="3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vertical="center"/>
    </xf>
    <xf numFmtId="164" fontId="4" fillId="0" borderId="0" xfId="0" applyNumberFormat="1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1" fillId="0" borderId="5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6" fillId="0" borderId="15" xfId="0" applyFont="1" applyFill="1" applyBorder="1" applyAlignment="1">
      <alignment horizontal="right" vertical="center"/>
    </xf>
    <xf numFmtId="0" fontId="6" fillId="4" borderId="15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left"/>
    </xf>
    <xf numFmtId="0" fontId="6" fillId="0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</cellXfs>
  <cellStyles count="1">
    <cellStyle name="Normal" xfId="0" builtinId="0"/>
  </cellStyles>
  <dxfs count="9879"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9" defaultPivotStyle="PivotStyleLight16"/>
  <colors>
    <mruColors>
      <color rgb="FF08080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DUYT/Downloads/rutascolegioadharaz%20(1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enso"/>
      <sheetName val="002A"/>
      <sheetName val="003B"/>
      <sheetName val="004A"/>
      <sheetName val="004B"/>
      <sheetName val="004D"/>
      <sheetName val="005A"/>
      <sheetName val="005B"/>
      <sheetName val="005D"/>
      <sheetName val="006A"/>
      <sheetName val="006B"/>
      <sheetName val="006C"/>
      <sheetName val="006D"/>
      <sheetName val="011A"/>
      <sheetName val="011B"/>
      <sheetName val="012A"/>
      <sheetName val="012B"/>
      <sheetName val="013A"/>
      <sheetName val="014A"/>
      <sheetName val="015A"/>
      <sheetName val="016A"/>
      <sheetName val="021A"/>
    </sheetNames>
    <definedNames>
      <definedName name="Macro15"/>
      <definedName name="ThisWorkbook.imprimi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88"/>
  <sheetViews>
    <sheetView topLeftCell="A121" zoomScale="60" zoomScaleNormal="60" workbookViewId="0">
      <selection activeCell="A188" sqref="A188:I188"/>
    </sheetView>
  </sheetViews>
  <sheetFormatPr defaultColWidth="11.42578125" defaultRowHeight="12.75"/>
  <cols>
    <col min="1" max="1" width="14.28515625" style="34" bestFit="1" customWidth="1"/>
    <col min="2" max="2" width="50.42578125" style="2" bestFit="1" customWidth="1"/>
    <col min="3" max="4" width="17.7109375" style="1" customWidth="1"/>
    <col min="5" max="5" width="48.85546875" style="2" bestFit="1" customWidth="1"/>
    <col min="6" max="6" width="41.28515625" style="2" bestFit="1" customWidth="1"/>
    <col min="7" max="7" width="40.28515625" style="2" bestFit="1" customWidth="1"/>
    <col min="8" max="8" width="11.42578125" style="1"/>
    <col min="9" max="9" width="17.7109375" style="1" bestFit="1" customWidth="1"/>
    <col min="10" max="16384" width="11.42578125" style="1"/>
  </cols>
  <sheetData>
    <row r="1" spans="1:9" ht="13.5" customHeight="1" thickBot="1">
      <c r="A1" s="14"/>
      <c r="D1" s="46" t="str">
        <f>"ALUMNOS POR RUTA DE HOY                                                                                            " &amp; "ruta1=" &amp; COUNTIF(I$6:I$298,1) &amp; "     ruta2=" &amp;  COUNTIF(I$6:I$298,2) &amp; "     ruta3=" &amp;  COUNTIF(I$6:I$298,3) &amp; "     ruta4=" &amp;  COUNTIF(I$6:I$298,4)  &amp; "                         ruta5=" &amp; COUNTIF(I$6:I$298,5) &amp; "     ruta6=" &amp;  COUNTIF(I$6:I$298,6) &amp; "     ruta7=" &amp;  COUNTIF(I$6:I$298,7) &amp; "     ruta8=" &amp;  COUNTIF(I$6:I$298,8)</f>
        <v>ALUMNOS POR RUTA DE HOY                                                                                            ruta1=21     ruta2=25     ruta3=18     ruta4=21                         ruta5=19     ruta6=38     ruta7=25     ruta8=16</v>
      </c>
      <c r="E1" s="47"/>
      <c r="F1" s="43" t="s">
        <v>428</v>
      </c>
      <c r="G1" s="13" t="s">
        <v>429</v>
      </c>
    </row>
    <row r="2" spans="1:9" ht="13.5" thickBot="1">
      <c r="A2" s="44">
        <f ca="1">TODAY()</f>
        <v>41741</v>
      </c>
      <c r="B2" s="45"/>
      <c r="C2" s="15"/>
      <c r="D2" s="48"/>
      <c r="E2" s="49"/>
      <c r="F2" s="43"/>
      <c r="G2" s="13" t="s">
        <v>430</v>
      </c>
    </row>
    <row r="3" spans="1:9" ht="13.5" thickBot="1">
      <c r="A3" s="15"/>
      <c r="C3" s="15"/>
      <c r="D3" s="50"/>
      <c r="E3" s="51"/>
      <c r="F3" s="43"/>
      <c r="G3" s="13" t="s">
        <v>450</v>
      </c>
    </row>
    <row r="4" spans="1:9" ht="13.5" thickBot="1">
      <c r="A4" s="11"/>
      <c r="C4" s="4"/>
      <c r="D4" s="12"/>
      <c r="E4" s="12"/>
    </row>
    <row r="5" spans="1:9" s="3" customFormat="1" ht="13.5" thickBot="1">
      <c r="A5" s="38" t="s">
        <v>449</v>
      </c>
      <c r="B5" s="35" t="s">
        <v>3</v>
      </c>
      <c r="C5" s="6" t="s">
        <v>431</v>
      </c>
      <c r="D5" s="5" t="s">
        <v>1</v>
      </c>
      <c r="E5" s="5" t="s">
        <v>2</v>
      </c>
      <c r="F5" s="5" t="s">
        <v>4</v>
      </c>
      <c r="G5" s="5" t="s">
        <v>5</v>
      </c>
      <c r="H5" s="5" t="s">
        <v>0</v>
      </c>
      <c r="I5" s="6" t="s">
        <v>427</v>
      </c>
    </row>
    <row r="6" spans="1:9">
      <c r="A6" s="39"/>
      <c r="B6" s="36" t="s">
        <v>197</v>
      </c>
      <c r="C6" s="7">
        <v>4</v>
      </c>
      <c r="D6" s="7" t="s">
        <v>160</v>
      </c>
      <c r="E6" s="8" t="s">
        <v>195</v>
      </c>
      <c r="F6" s="8">
        <v>687477172</v>
      </c>
      <c r="G6" s="8">
        <v>606228537</v>
      </c>
      <c r="H6" s="7">
        <v>2</v>
      </c>
      <c r="I6" s="7">
        <f t="shared" ref="I6:I37" si="0">IF(A6="",$C6,IF(A6="x","NO VA HOY",A6))</f>
        <v>4</v>
      </c>
    </row>
    <row r="7" spans="1:9">
      <c r="A7" s="39"/>
      <c r="B7" s="36" t="s">
        <v>161</v>
      </c>
      <c r="C7" s="7">
        <v>3</v>
      </c>
      <c r="D7" s="7" t="s">
        <v>160</v>
      </c>
      <c r="E7" s="8" t="s">
        <v>155</v>
      </c>
      <c r="F7" s="8">
        <v>610745387</v>
      </c>
      <c r="G7" s="8">
        <v>600505659</v>
      </c>
      <c r="H7" s="7">
        <v>2</v>
      </c>
      <c r="I7" s="7">
        <f t="shared" si="0"/>
        <v>3</v>
      </c>
    </row>
    <row r="8" spans="1:9">
      <c r="A8" s="39"/>
      <c r="B8" s="36" t="s">
        <v>316</v>
      </c>
      <c r="C8" s="7">
        <v>6</v>
      </c>
      <c r="D8" s="7" t="s">
        <v>160</v>
      </c>
      <c r="E8" s="8" t="s">
        <v>302</v>
      </c>
      <c r="F8" s="8">
        <v>669637057</v>
      </c>
      <c r="G8" s="8">
        <v>659731444</v>
      </c>
      <c r="H8" s="7">
        <v>2</v>
      </c>
      <c r="I8" s="7">
        <f t="shared" si="0"/>
        <v>6</v>
      </c>
    </row>
    <row r="9" spans="1:9">
      <c r="A9" s="39"/>
      <c r="B9" s="36" t="s">
        <v>237</v>
      </c>
      <c r="C9" s="7">
        <v>5</v>
      </c>
      <c r="D9" s="7" t="s">
        <v>104</v>
      </c>
      <c r="E9" s="8" t="s">
        <v>236</v>
      </c>
      <c r="F9" s="8" t="s">
        <v>238</v>
      </c>
      <c r="G9" s="8" t="s">
        <v>239</v>
      </c>
      <c r="H9" s="7">
        <v>2</v>
      </c>
      <c r="I9" s="7">
        <f t="shared" si="0"/>
        <v>5</v>
      </c>
    </row>
    <row r="10" spans="1:9">
      <c r="A10" s="39"/>
      <c r="B10" s="36" t="s">
        <v>378</v>
      </c>
      <c r="C10" s="7">
        <v>7</v>
      </c>
      <c r="D10" s="7" t="s">
        <v>104</v>
      </c>
      <c r="E10" s="8" t="s">
        <v>377</v>
      </c>
      <c r="F10" s="8" t="s">
        <v>379</v>
      </c>
      <c r="G10" s="8" t="s">
        <v>380</v>
      </c>
      <c r="H10" s="7">
        <v>2</v>
      </c>
      <c r="I10" s="7">
        <f t="shared" si="0"/>
        <v>7</v>
      </c>
    </row>
    <row r="11" spans="1:9">
      <c r="A11" s="39"/>
      <c r="B11" s="36" t="s">
        <v>117</v>
      </c>
      <c r="C11" s="7">
        <v>2</v>
      </c>
      <c r="D11" s="7" t="s">
        <v>104</v>
      </c>
      <c r="E11" s="8" t="s">
        <v>110</v>
      </c>
      <c r="F11" s="8" t="s">
        <v>115</v>
      </c>
      <c r="G11" s="8" t="s">
        <v>116</v>
      </c>
      <c r="H11" s="7">
        <v>2</v>
      </c>
      <c r="I11" s="7">
        <f t="shared" si="0"/>
        <v>2</v>
      </c>
    </row>
    <row r="12" spans="1:9">
      <c r="A12" s="39"/>
      <c r="B12" s="36" t="s">
        <v>353</v>
      </c>
      <c r="C12" s="7">
        <v>7</v>
      </c>
      <c r="D12" s="7" t="s">
        <v>104</v>
      </c>
      <c r="E12" s="8" t="s">
        <v>344</v>
      </c>
      <c r="F12" s="8" t="s">
        <v>351</v>
      </c>
      <c r="G12" s="8" t="s">
        <v>352</v>
      </c>
      <c r="H12" s="7">
        <v>2</v>
      </c>
      <c r="I12" s="7">
        <f t="shared" si="0"/>
        <v>7</v>
      </c>
    </row>
    <row r="13" spans="1:9">
      <c r="A13" s="39"/>
      <c r="B13" s="36" t="s">
        <v>162</v>
      </c>
      <c r="C13" s="7">
        <v>3</v>
      </c>
      <c r="D13" s="7" t="s">
        <v>104</v>
      </c>
      <c r="E13" s="8" t="s">
        <v>155</v>
      </c>
      <c r="F13" s="8">
        <v>610745387</v>
      </c>
      <c r="G13" s="8">
        <v>600505659</v>
      </c>
      <c r="H13" s="7">
        <v>2</v>
      </c>
      <c r="I13" s="7">
        <f t="shared" si="0"/>
        <v>3</v>
      </c>
    </row>
    <row r="14" spans="1:9">
      <c r="A14" s="39"/>
      <c r="B14" s="36" t="s">
        <v>370</v>
      </c>
      <c r="C14" s="7">
        <v>7</v>
      </c>
      <c r="D14" s="7" t="s">
        <v>104</v>
      </c>
      <c r="E14" s="8" t="s">
        <v>369</v>
      </c>
      <c r="F14" s="8" t="s">
        <v>371</v>
      </c>
      <c r="G14" s="8" t="s">
        <v>372</v>
      </c>
      <c r="H14" s="7">
        <v>2</v>
      </c>
      <c r="I14" s="7">
        <f t="shared" si="0"/>
        <v>7</v>
      </c>
    </row>
    <row r="15" spans="1:9">
      <c r="A15" s="39"/>
      <c r="B15" s="36" t="s">
        <v>317</v>
      </c>
      <c r="C15" s="7">
        <v>6</v>
      </c>
      <c r="D15" s="7" t="s">
        <v>104</v>
      </c>
      <c r="E15" s="8" t="s">
        <v>302</v>
      </c>
      <c r="F15" s="8">
        <v>669637057</v>
      </c>
      <c r="G15" s="8">
        <v>659731444</v>
      </c>
      <c r="H15" s="7">
        <v>2</v>
      </c>
      <c r="I15" s="7">
        <f t="shared" si="0"/>
        <v>6</v>
      </c>
    </row>
    <row r="16" spans="1:9">
      <c r="A16" s="39"/>
      <c r="B16" s="36" t="s">
        <v>105</v>
      </c>
      <c r="C16" s="7">
        <v>2</v>
      </c>
      <c r="D16" s="7" t="s">
        <v>104</v>
      </c>
      <c r="E16" s="8" t="s">
        <v>73</v>
      </c>
      <c r="F16" s="8" t="s">
        <v>102</v>
      </c>
      <c r="G16" s="8" t="s">
        <v>103</v>
      </c>
      <c r="H16" s="7">
        <v>2</v>
      </c>
      <c r="I16" s="7">
        <f t="shared" si="0"/>
        <v>2</v>
      </c>
    </row>
    <row r="17" spans="1:9">
      <c r="A17" s="39"/>
      <c r="B17" s="36" t="s">
        <v>322</v>
      </c>
      <c r="C17" s="7">
        <v>6</v>
      </c>
      <c r="D17" s="7" t="s">
        <v>109</v>
      </c>
      <c r="E17" s="8" t="s">
        <v>318</v>
      </c>
      <c r="F17" s="8" t="s">
        <v>320</v>
      </c>
      <c r="G17" s="8" t="s">
        <v>321</v>
      </c>
      <c r="H17" s="7">
        <v>2</v>
      </c>
      <c r="I17" s="7">
        <f t="shared" si="0"/>
        <v>6</v>
      </c>
    </row>
    <row r="18" spans="1:9">
      <c r="A18" s="39"/>
      <c r="B18" s="36" t="s">
        <v>111</v>
      </c>
      <c r="C18" s="7">
        <v>2</v>
      </c>
      <c r="D18" s="7" t="s">
        <v>109</v>
      </c>
      <c r="E18" s="8" t="s">
        <v>110</v>
      </c>
      <c r="F18" s="8" t="s">
        <v>112</v>
      </c>
      <c r="G18" s="8" t="s">
        <v>113</v>
      </c>
      <c r="H18" s="7">
        <v>2</v>
      </c>
      <c r="I18" s="7">
        <f t="shared" si="0"/>
        <v>2</v>
      </c>
    </row>
    <row r="19" spans="1:9">
      <c r="A19" s="39"/>
      <c r="B19" s="36" t="s">
        <v>266</v>
      </c>
      <c r="C19" s="7">
        <v>6</v>
      </c>
      <c r="D19" s="7" t="s">
        <v>109</v>
      </c>
      <c r="E19" s="8" t="s">
        <v>263</v>
      </c>
      <c r="F19" s="8" t="s">
        <v>265</v>
      </c>
      <c r="G19" s="8">
        <v>610512278</v>
      </c>
      <c r="H19" s="7">
        <v>2</v>
      </c>
      <c r="I19" s="7">
        <f t="shared" si="0"/>
        <v>6</v>
      </c>
    </row>
    <row r="20" spans="1:9">
      <c r="A20" s="39"/>
      <c r="B20" s="36" t="s">
        <v>244</v>
      </c>
      <c r="C20" s="7">
        <v>5</v>
      </c>
      <c r="D20" s="7" t="s">
        <v>109</v>
      </c>
      <c r="E20" s="8" t="s">
        <v>236</v>
      </c>
      <c r="F20" s="8" t="s">
        <v>245</v>
      </c>
      <c r="G20" s="8" t="s">
        <v>246</v>
      </c>
      <c r="H20" s="7">
        <v>2</v>
      </c>
      <c r="I20" s="7">
        <f t="shared" si="0"/>
        <v>5</v>
      </c>
    </row>
    <row r="21" spans="1:9">
      <c r="A21" s="39"/>
      <c r="B21" s="36" t="s">
        <v>254</v>
      </c>
      <c r="C21" s="7">
        <v>5</v>
      </c>
      <c r="D21" s="7" t="s">
        <v>109</v>
      </c>
      <c r="E21" s="8" t="s">
        <v>249</v>
      </c>
      <c r="F21" s="8">
        <v>626836122</v>
      </c>
      <c r="G21" s="8" t="s">
        <v>253</v>
      </c>
      <c r="H21" s="7">
        <v>2</v>
      </c>
      <c r="I21" s="7">
        <f t="shared" si="0"/>
        <v>5</v>
      </c>
    </row>
    <row r="22" spans="1:9">
      <c r="A22" s="39"/>
      <c r="B22" s="36" t="s">
        <v>325</v>
      </c>
      <c r="C22" s="7">
        <v>6</v>
      </c>
      <c r="D22" s="7" t="s">
        <v>109</v>
      </c>
      <c r="E22" s="8" t="s">
        <v>318</v>
      </c>
      <c r="F22" s="8">
        <v>659029295</v>
      </c>
      <c r="G22" s="8">
        <v>646810869</v>
      </c>
      <c r="H22" s="7">
        <v>2</v>
      </c>
      <c r="I22" s="7">
        <f t="shared" si="0"/>
        <v>6</v>
      </c>
    </row>
    <row r="23" spans="1:9">
      <c r="A23" s="39"/>
      <c r="B23" s="36" t="s">
        <v>129</v>
      </c>
      <c r="C23" s="7">
        <v>2</v>
      </c>
      <c r="D23" s="7" t="s">
        <v>109</v>
      </c>
      <c r="E23" s="8" t="s">
        <v>125</v>
      </c>
      <c r="F23" s="8">
        <v>660388598</v>
      </c>
      <c r="G23" s="8">
        <v>618183862</v>
      </c>
      <c r="H23" s="7">
        <v>2</v>
      </c>
      <c r="I23" s="7">
        <f t="shared" si="0"/>
        <v>2</v>
      </c>
    </row>
    <row r="24" spans="1:9">
      <c r="A24" s="39"/>
      <c r="B24" s="36" t="s">
        <v>338</v>
      </c>
      <c r="C24" s="7">
        <v>7</v>
      </c>
      <c r="D24" s="7" t="s">
        <v>109</v>
      </c>
      <c r="E24" s="8" t="s">
        <v>332</v>
      </c>
      <c r="F24" s="8" t="s">
        <v>339</v>
      </c>
      <c r="G24" s="8" t="s">
        <v>340</v>
      </c>
      <c r="H24" s="7">
        <v>2</v>
      </c>
      <c r="I24" s="7">
        <f t="shared" si="0"/>
        <v>7</v>
      </c>
    </row>
    <row r="25" spans="1:9">
      <c r="A25" s="39"/>
      <c r="B25" s="36" t="s">
        <v>44</v>
      </c>
      <c r="C25" s="7">
        <v>1</v>
      </c>
      <c r="D25" s="7" t="s">
        <v>6</v>
      </c>
      <c r="E25" s="8" t="s">
        <v>43</v>
      </c>
      <c r="F25" s="8" t="s">
        <v>45</v>
      </c>
      <c r="G25" s="8" t="s">
        <v>46</v>
      </c>
      <c r="H25" s="7">
        <v>2</v>
      </c>
      <c r="I25" s="7">
        <f t="shared" si="0"/>
        <v>1</v>
      </c>
    </row>
    <row r="26" spans="1:9">
      <c r="A26" s="39"/>
      <c r="B26" s="36" t="s">
        <v>8</v>
      </c>
      <c r="C26" s="7">
        <v>1</v>
      </c>
      <c r="D26" s="7" t="s">
        <v>6</v>
      </c>
      <c r="E26" s="8" t="s">
        <v>7</v>
      </c>
      <c r="F26" s="8">
        <v>669862156</v>
      </c>
      <c r="G26" s="8">
        <v>629238527</v>
      </c>
      <c r="H26" s="7">
        <v>2</v>
      </c>
      <c r="I26" s="7">
        <f t="shared" si="0"/>
        <v>1</v>
      </c>
    </row>
    <row r="27" spans="1:9">
      <c r="A27" s="39"/>
      <c r="B27" s="36" t="s">
        <v>243</v>
      </c>
      <c r="C27" s="7">
        <v>5</v>
      </c>
      <c r="D27" s="7" t="s">
        <v>6</v>
      </c>
      <c r="E27" s="8" t="s">
        <v>236</v>
      </c>
      <c r="F27" s="8" t="s">
        <v>241</v>
      </c>
      <c r="G27" s="8" t="s">
        <v>242</v>
      </c>
      <c r="H27" s="7">
        <v>2</v>
      </c>
      <c r="I27" s="7">
        <f t="shared" si="0"/>
        <v>5</v>
      </c>
    </row>
    <row r="28" spans="1:9">
      <c r="A28" s="39"/>
      <c r="B28" s="36" t="s">
        <v>298</v>
      </c>
      <c r="C28" s="7">
        <v>6</v>
      </c>
      <c r="D28" s="7" t="s">
        <v>6</v>
      </c>
      <c r="E28" s="8" t="s">
        <v>295</v>
      </c>
      <c r="F28" s="8" t="s">
        <v>299</v>
      </c>
      <c r="G28" s="8" t="s">
        <v>300</v>
      </c>
      <c r="H28" s="7">
        <v>2</v>
      </c>
      <c r="I28" s="7">
        <f t="shared" si="0"/>
        <v>6</v>
      </c>
    </row>
    <row r="29" spans="1:9">
      <c r="A29" s="39"/>
      <c r="B29" s="36" t="s">
        <v>271</v>
      </c>
      <c r="C29" s="7">
        <v>6</v>
      </c>
      <c r="D29" s="7" t="s">
        <v>6</v>
      </c>
      <c r="E29" s="8" t="s">
        <v>263</v>
      </c>
      <c r="F29" s="8" t="s">
        <v>268</v>
      </c>
      <c r="G29" s="8" t="s">
        <v>269</v>
      </c>
      <c r="H29" s="7">
        <v>2</v>
      </c>
      <c r="I29" s="7">
        <f t="shared" si="0"/>
        <v>6</v>
      </c>
    </row>
    <row r="30" spans="1:9">
      <c r="A30" s="39"/>
      <c r="B30" s="36" t="s">
        <v>159</v>
      </c>
      <c r="C30" s="7">
        <v>3</v>
      </c>
      <c r="D30" s="7" t="s">
        <v>6</v>
      </c>
      <c r="E30" s="8" t="s">
        <v>155</v>
      </c>
      <c r="F30" s="8" t="s">
        <v>157</v>
      </c>
      <c r="G30" s="8" t="s">
        <v>158</v>
      </c>
      <c r="H30" s="7">
        <v>2</v>
      </c>
      <c r="I30" s="7">
        <f t="shared" si="0"/>
        <v>3</v>
      </c>
    </row>
    <row r="31" spans="1:9">
      <c r="A31" s="39"/>
      <c r="B31" s="36" t="s">
        <v>301</v>
      </c>
      <c r="C31" s="7">
        <v>6</v>
      </c>
      <c r="D31" s="7" t="s">
        <v>6</v>
      </c>
      <c r="E31" s="8" t="s">
        <v>295</v>
      </c>
      <c r="F31" s="8">
        <v>666892346</v>
      </c>
      <c r="G31" s="8">
        <v>677574995</v>
      </c>
      <c r="H31" s="7">
        <v>2</v>
      </c>
      <c r="I31" s="7">
        <f t="shared" si="0"/>
        <v>6</v>
      </c>
    </row>
    <row r="32" spans="1:9">
      <c r="A32" s="39"/>
      <c r="B32" s="36" t="s">
        <v>187</v>
      </c>
      <c r="C32" s="7">
        <v>4</v>
      </c>
      <c r="D32" s="7" t="s">
        <v>6</v>
      </c>
      <c r="E32" s="8" t="s">
        <v>183</v>
      </c>
      <c r="F32" s="8" t="s">
        <v>188</v>
      </c>
      <c r="G32" s="8" t="s">
        <v>189</v>
      </c>
      <c r="H32" s="7">
        <v>2</v>
      </c>
      <c r="I32" s="7">
        <f t="shared" si="0"/>
        <v>4</v>
      </c>
    </row>
    <row r="33" spans="1:9">
      <c r="A33" s="39"/>
      <c r="B33" s="36" t="s">
        <v>175</v>
      </c>
      <c r="C33" s="7">
        <v>4</v>
      </c>
      <c r="D33" s="7" t="s">
        <v>6</v>
      </c>
      <c r="E33" s="8" t="s">
        <v>174</v>
      </c>
      <c r="F33" s="8" t="s">
        <v>176</v>
      </c>
      <c r="G33" s="8" t="s">
        <v>177</v>
      </c>
      <c r="H33" s="7">
        <v>2</v>
      </c>
      <c r="I33" s="7">
        <f t="shared" si="0"/>
        <v>4</v>
      </c>
    </row>
    <row r="34" spans="1:9">
      <c r="A34" s="39"/>
      <c r="B34" s="36" t="s">
        <v>276</v>
      </c>
      <c r="C34" s="7">
        <v>6</v>
      </c>
      <c r="D34" s="7" t="s">
        <v>6</v>
      </c>
      <c r="E34" s="8" t="s">
        <v>263</v>
      </c>
      <c r="F34" s="8" t="s">
        <v>277</v>
      </c>
      <c r="G34" s="8">
        <v>652179139</v>
      </c>
      <c r="H34" s="7">
        <v>2</v>
      </c>
      <c r="I34" s="7">
        <f t="shared" si="0"/>
        <v>6</v>
      </c>
    </row>
    <row r="35" spans="1:9">
      <c r="A35" s="39"/>
      <c r="B35" s="36" t="s">
        <v>191</v>
      </c>
      <c r="C35" s="7">
        <v>4</v>
      </c>
      <c r="D35" s="7" t="s">
        <v>6</v>
      </c>
      <c r="E35" s="8" t="s">
        <v>183</v>
      </c>
      <c r="F35" s="8" t="s">
        <v>192</v>
      </c>
      <c r="G35" s="8" t="s">
        <v>193</v>
      </c>
      <c r="H35" s="7">
        <v>2</v>
      </c>
      <c r="I35" s="7">
        <f t="shared" si="0"/>
        <v>4</v>
      </c>
    </row>
    <row r="36" spans="1:9">
      <c r="A36" s="39"/>
      <c r="B36" s="36" t="s">
        <v>405</v>
      </c>
      <c r="C36" s="7">
        <v>8</v>
      </c>
      <c r="D36" s="7" t="s">
        <v>6</v>
      </c>
      <c r="E36" s="8" t="s">
        <v>395</v>
      </c>
      <c r="F36" s="8" t="s">
        <v>406</v>
      </c>
      <c r="G36" s="8" t="s">
        <v>407</v>
      </c>
      <c r="H36" s="7">
        <v>2</v>
      </c>
      <c r="I36" s="7">
        <f t="shared" si="0"/>
        <v>8</v>
      </c>
    </row>
    <row r="37" spans="1:9">
      <c r="A37" s="39"/>
      <c r="B37" s="36" t="s">
        <v>250</v>
      </c>
      <c r="C37" s="7">
        <v>5</v>
      </c>
      <c r="D37" s="7" t="s">
        <v>82</v>
      </c>
      <c r="E37" s="8" t="s">
        <v>249</v>
      </c>
      <c r="F37" s="8">
        <v>670668441</v>
      </c>
      <c r="G37" s="8">
        <v>637858942</v>
      </c>
      <c r="H37" s="7">
        <v>2</v>
      </c>
      <c r="I37" s="7">
        <f t="shared" si="0"/>
        <v>5</v>
      </c>
    </row>
    <row r="38" spans="1:9">
      <c r="A38" s="39"/>
      <c r="B38" s="36" t="s">
        <v>83</v>
      </c>
      <c r="C38" s="7">
        <v>2</v>
      </c>
      <c r="D38" s="7" t="s">
        <v>82</v>
      </c>
      <c r="E38" s="8" t="s">
        <v>73</v>
      </c>
      <c r="F38" s="8" t="s">
        <v>80</v>
      </c>
      <c r="G38" s="8" t="s">
        <v>81</v>
      </c>
      <c r="H38" s="7">
        <v>2</v>
      </c>
      <c r="I38" s="7">
        <f t="shared" ref="I38:I69" si="1">IF(A38="",$C38,IF(A38="x","NO VA HOY",A38))</f>
        <v>2</v>
      </c>
    </row>
    <row r="39" spans="1:9">
      <c r="A39" s="39"/>
      <c r="B39" s="36" t="s">
        <v>91</v>
      </c>
      <c r="C39" s="7">
        <v>2</v>
      </c>
      <c r="D39" s="7" t="s">
        <v>82</v>
      </c>
      <c r="E39" s="8" t="s">
        <v>73</v>
      </c>
      <c r="F39" s="8">
        <v>660058330</v>
      </c>
      <c r="G39" s="8">
        <v>630282296</v>
      </c>
      <c r="H39" s="7">
        <v>2</v>
      </c>
      <c r="I39" s="7">
        <f t="shared" si="1"/>
        <v>2</v>
      </c>
    </row>
    <row r="40" spans="1:9">
      <c r="A40" s="39"/>
      <c r="B40" s="36" t="s">
        <v>92</v>
      </c>
      <c r="C40" s="7">
        <v>2</v>
      </c>
      <c r="D40" s="7" t="s">
        <v>82</v>
      </c>
      <c r="E40" s="8" t="s">
        <v>73</v>
      </c>
      <c r="F40" s="8">
        <v>660058330</v>
      </c>
      <c r="G40" s="8">
        <v>630282296</v>
      </c>
      <c r="H40" s="7">
        <v>2</v>
      </c>
      <c r="I40" s="7">
        <f t="shared" si="1"/>
        <v>2</v>
      </c>
    </row>
    <row r="41" spans="1:9">
      <c r="A41" s="39"/>
      <c r="B41" s="36" t="s">
        <v>423</v>
      </c>
      <c r="C41" s="7">
        <v>8</v>
      </c>
      <c r="D41" s="7" t="s">
        <v>82</v>
      </c>
      <c r="E41" s="8" t="s">
        <v>418</v>
      </c>
      <c r="F41" s="8" t="s">
        <v>424</v>
      </c>
      <c r="G41" s="8" t="s">
        <v>425</v>
      </c>
      <c r="H41" s="7">
        <v>2</v>
      </c>
      <c r="I41" s="7">
        <f t="shared" si="1"/>
        <v>8</v>
      </c>
    </row>
    <row r="42" spans="1:9">
      <c r="A42" s="39"/>
      <c r="B42" s="36" t="s">
        <v>400</v>
      </c>
      <c r="C42" s="7">
        <v>8</v>
      </c>
      <c r="D42" s="7" t="s">
        <v>82</v>
      </c>
      <c r="E42" s="8" t="s">
        <v>395</v>
      </c>
      <c r="F42" s="8" t="s">
        <v>401</v>
      </c>
      <c r="G42" s="8" t="s">
        <v>402</v>
      </c>
      <c r="H42" s="7">
        <v>2</v>
      </c>
      <c r="I42" s="7">
        <f t="shared" si="1"/>
        <v>8</v>
      </c>
    </row>
    <row r="43" spans="1:9">
      <c r="A43" s="39"/>
      <c r="B43" s="36" t="s">
        <v>126</v>
      </c>
      <c r="C43" s="7">
        <v>2</v>
      </c>
      <c r="D43" s="7" t="s">
        <v>82</v>
      </c>
      <c r="E43" s="8" t="s">
        <v>125</v>
      </c>
      <c r="F43" s="8">
        <v>660388598</v>
      </c>
      <c r="G43" s="8">
        <v>618183862</v>
      </c>
      <c r="H43" s="7">
        <v>2</v>
      </c>
      <c r="I43" s="7">
        <f t="shared" si="1"/>
        <v>2</v>
      </c>
    </row>
    <row r="44" spans="1:9">
      <c r="A44" s="39"/>
      <c r="B44" s="36" t="s">
        <v>173</v>
      </c>
      <c r="C44" s="7">
        <v>3</v>
      </c>
      <c r="D44" s="7" t="s">
        <v>82</v>
      </c>
      <c r="E44" s="8" t="s">
        <v>166</v>
      </c>
      <c r="F44" s="8" t="s">
        <v>171</v>
      </c>
      <c r="G44" s="8" t="s">
        <v>172</v>
      </c>
      <c r="H44" s="7">
        <v>2</v>
      </c>
      <c r="I44" s="7">
        <f t="shared" si="1"/>
        <v>3</v>
      </c>
    </row>
    <row r="45" spans="1:9">
      <c r="A45" s="39"/>
      <c r="B45" s="36" t="s">
        <v>58</v>
      </c>
      <c r="C45" s="7">
        <v>1</v>
      </c>
      <c r="D45" s="7" t="s">
        <v>15</v>
      </c>
      <c r="E45" s="8" t="s">
        <v>57</v>
      </c>
      <c r="F45" s="8" t="s">
        <v>59</v>
      </c>
      <c r="G45" s="8">
        <v>675503519</v>
      </c>
      <c r="H45" s="7">
        <v>2</v>
      </c>
      <c r="I45" s="7">
        <f t="shared" si="1"/>
        <v>1</v>
      </c>
    </row>
    <row r="46" spans="1:9">
      <c r="A46" s="39"/>
      <c r="B46" s="36" t="s">
        <v>134</v>
      </c>
      <c r="C46" s="7">
        <v>3</v>
      </c>
      <c r="D46" s="7" t="s">
        <v>15</v>
      </c>
      <c r="E46" s="8" t="s">
        <v>130</v>
      </c>
      <c r="F46" s="8" t="s">
        <v>135</v>
      </c>
      <c r="G46" s="8" t="s">
        <v>136</v>
      </c>
      <c r="H46" s="7">
        <v>2</v>
      </c>
      <c r="I46" s="7">
        <f t="shared" si="1"/>
        <v>3</v>
      </c>
    </row>
    <row r="47" spans="1:9">
      <c r="A47" s="39"/>
      <c r="B47" s="36" t="s">
        <v>178</v>
      </c>
      <c r="C47" s="7">
        <v>4</v>
      </c>
      <c r="D47" s="7" t="s">
        <v>15</v>
      </c>
      <c r="E47" s="8" t="s">
        <v>174</v>
      </c>
      <c r="F47" s="8" t="s">
        <v>176</v>
      </c>
      <c r="G47" s="8" t="s">
        <v>177</v>
      </c>
      <c r="H47" s="7">
        <v>2</v>
      </c>
      <c r="I47" s="7">
        <f t="shared" si="1"/>
        <v>4</v>
      </c>
    </row>
    <row r="48" spans="1:9">
      <c r="A48" s="39"/>
      <c r="B48" s="36" t="s">
        <v>16</v>
      </c>
      <c r="C48" s="7">
        <v>1</v>
      </c>
      <c r="D48" s="7" t="s">
        <v>15</v>
      </c>
      <c r="E48" s="8" t="s">
        <v>7</v>
      </c>
      <c r="F48" s="8" t="s">
        <v>17</v>
      </c>
      <c r="G48" s="8" t="s">
        <v>18</v>
      </c>
      <c r="H48" s="7">
        <v>2</v>
      </c>
      <c r="I48" s="7">
        <f t="shared" si="1"/>
        <v>1</v>
      </c>
    </row>
    <row r="49" spans="1:9">
      <c r="A49" s="39"/>
      <c r="B49" s="36" t="s">
        <v>96</v>
      </c>
      <c r="C49" s="7">
        <v>2</v>
      </c>
      <c r="D49" s="7" t="s">
        <v>15</v>
      </c>
      <c r="E49" s="8" t="s">
        <v>73</v>
      </c>
      <c r="F49" s="8" t="s">
        <v>94</v>
      </c>
      <c r="G49" s="8" t="s">
        <v>95</v>
      </c>
      <c r="H49" s="7">
        <v>2</v>
      </c>
      <c r="I49" s="7">
        <f t="shared" si="1"/>
        <v>2</v>
      </c>
    </row>
    <row r="50" spans="1:9">
      <c r="A50" s="39"/>
      <c r="B50" s="36" t="s">
        <v>248</v>
      </c>
      <c r="C50" s="7">
        <v>5</v>
      </c>
      <c r="D50" s="7" t="s">
        <v>15</v>
      </c>
      <c r="E50" s="8" t="s">
        <v>236</v>
      </c>
      <c r="F50" s="8">
        <v>671640838</v>
      </c>
      <c r="G50" s="8">
        <v>600478347</v>
      </c>
      <c r="H50" s="7">
        <v>2</v>
      </c>
      <c r="I50" s="7">
        <f t="shared" si="1"/>
        <v>5</v>
      </c>
    </row>
    <row r="51" spans="1:9">
      <c r="A51" s="39"/>
      <c r="B51" s="36" t="s">
        <v>98</v>
      </c>
      <c r="C51" s="7">
        <v>2</v>
      </c>
      <c r="D51" s="7" t="s">
        <v>15</v>
      </c>
      <c r="E51" s="8" t="s">
        <v>73</v>
      </c>
      <c r="F51" s="8" t="s">
        <v>99</v>
      </c>
      <c r="G51" s="8" t="s">
        <v>100</v>
      </c>
      <c r="H51" s="7">
        <v>2</v>
      </c>
      <c r="I51" s="7">
        <f t="shared" si="1"/>
        <v>2</v>
      </c>
    </row>
    <row r="52" spans="1:9">
      <c r="A52" s="39"/>
      <c r="B52" s="36" t="s">
        <v>368</v>
      </c>
      <c r="C52" s="7">
        <v>7</v>
      </c>
      <c r="D52" s="7" t="s">
        <v>15</v>
      </c>
      <c r="E52" s="8" t="s">
        <v>344</v>
      </c>
      <c r="F52" s="8" t="s">
        <v>365</v>
      </c>
      <c r="G52" s="8" t="s">
        <v>366</v>
      </c>
      <c r="H52" s="7">
        <v>2</v>
      </c>
      <c r="I52" s="7">
        <f t="shared" si="1"/>
        <v>7</v>
      </c>
    </row>
    <row r="53" spans="1:9">
      <c r="A53" s="39"/>
      <c r="B53" s="36" t="s">
        <v>106</v>
      </c>
      <c r="C53" s="7">
        <v>2</v>
      </c>
      <c r="D53" s="7" t="s">
        <v>15</v>
      </c>
      <c r="E53" s="8" t="s">
        <v>73</v>
      </c>
      <c r="F53" s="8" t="s">
        <v>107</v>
      </c>
      <c r="G53" s="8" t="s">
        <v>108</v>
      </c>
      <c r="H53" s="7">
        <v>2</v>
      </c>
      <c r="I53" s="7">
        <f t="shared" si="1"/>
        <v>2</v>
      </c>
    </row>
    <row r="54" spans="1:9">
      <c r="A54" s="39"/>
      <c r="B54" s="36" t="s">
        <v>214</v>
      </c>
      <c r="C54" s="7">
        <v>4</v>
      </c>
      <c r="D54" s="7" t="s">
        <v>15</v>
      </c>
      <c r="E54" s="8" t="s">
        <v>213</v>
      </c>
      <c r="F54" s="8">
        <v>630826376</v>
      </c>
      <c r="G54" s="8">
        <v>646207822</v>
      </c>
      <c r="H54" s="7">
        <v>2</v>
      </c>
      <c r="I54" s="7">
        <f t="shared" si="1"/>
        <v>4</v>
      </c>
    </row>
    <row r="55" spans="1:9">
      <c r="A55" s="39"/>
      <c r="B55" s="36" t="s">
        <v>343</v>
      </c>
      <c r="C55" s="7">
        <v>7</v>
      </c>
      <c r="D55" s="7" t="s">
        <v>15</v>
      </c>
      <c r="E55" s="8" t="s">
        <v>332</v>
      </c>
      <c r="F55" s="8">
        <v>687414884</v>
      </c>
      <c r="G55" s="8">
        <v>677308566</v>
      </c>
      <c r="H55" s="7">
        <v>2</v>
      </c>
      <c r="I55" s="7">
        <f t="shared" si="1"/>
        <v>7</v>
      </c>
    </row>
    <row r="56" spans="1:9">
      <c r="A56" s="39"/>
      <c r="B56" s="36" t="s">
        <v>345</v>
      </c>
      <c r="C56" s="7">
        <v>7</v>
      </c>
      <c r="D56" s="7" t="s">
        <v>84</v>
      </c>
      <c r="E56" s="8" t="s">
        <v>344</v>
      </c>
      <c r="F56" s="8" t="s">
        <v>346</v>
      </c>
      <c r="G56" s="8" t="s">
        <v>347</v>
      </c>
      <c r="H56" s="7">
        <v>2</v>
      </c>
      <c r="I56" s="7">
        <f t="shared" si="1"/>
        <v>7</v>
      </c>
    </row>
    <row r="57" spans="1:9">
      <c r="A57" s="39"/>
      <c r="B57" s="36" t="s">
        <v>240</v>
      </c>
      <c r="C57" s="7">
        <v>5</v>
      </c>
      <c r="D57" s="7" t="s">
        <v>84</v>
      </c>
      <c r="E57" s="8" t="s">
        <v>236</v>
      </c>
      <c r="F57" s="8" t="s">
        <v>241</v>
      </c>
      <c r="G57" s="8" t="s">
        <v>242</v>
      </c>
      <c r="H57" s="7">
        <v>2</v>
      </c>
      <c r="I57" s="7">
        <f t="shared" si="1"/>
        <v>5</v>
      </c>
    </row>
    <row r="58" spans="1:9">
      <c r="A58" s="39"/>
      <c r="B58" s="36" t="s">
        <v>85</v>
      </c>
      <c r="C58" s="7">
        <v>2</v>
      </c>
      <c r="D58" s="7" t="s">
        <v>84</v>
      </c>
      <c r="E58" s="8" t="s">
        <v>73</v>
      </c>
      <c r="F58" s="8">
        <v>650581254</v>
      </c>
      <c r="G58" s="8">
        <v>669506241</v>
      </c>
      <c r="H58" s="7">
        <v>2</v>
      </c>
      <c r="I58" s="7">
        <f t="shared" si="1"/>
        <v>2</v>
      </c>
    </row>
    <row r="59" spans="1:9">
      <c r="A59" s="39"/>
      <c r="B59" s="36" t="s">
        <v>184</v>
      </c>
      <c r="C59" s="7">
        <v>4</v>
      </c>
      <c r="D59" s="7" t="s">
        <v>84</v>
      </c>
      <c r="E59" s="8" t="s">
        <v>183</v>
      </c>
      <c r="F59" s="8" t="s">
        <v>185</v>
      </c>
      <c r="G59" s="8" t="s">
        <v>186</v>
      </c>
      <c r="H59" s="7">
        <v>2</v>
      </c>
      <c r="I59" s="7">
        <f t="shared" si="1"/>
        <v>4</v>
      </c>
    </row>
    <row r="60" spans="1:9">
      <c r="A60" s="39"/>
      <c r="B60" s="36" t="s">
        <v>361</v>
      </c>
      <c r="C60" s="7">
        <v>7</v>
      </c>
      <c r="D60" s="7" t="s">
        <v>84</v>
      </c>
      <c r="E60" s="8" t="s">
        <v>344</v>
      </c>
      <c r="F60" s="8" t="s">
        <v>362</v>
      </c>
      <c r="G60" s="8" t="s">
        <v>363</v>
      </c>
      <c r="H60" s="7">
        <v>2</v>
      </c>
      <c r="I60" s="7">
        <f t="shared" si="1"/>
        <v>7</v>
      </c>
    </row>
    <row r="61" spans="1:9">
      <c r="A61" s="39"/>
      <c r="B61" s="36" t="s">
        <v>373</v>
      </c>
      <c r="C61" s="7">
        <v>7</v>
      </c>
      <c r="D61" s="7" t="s">
        <v>84</v>
      </c>
      <c r="E61" s="8" t="s">
        <v>369</v>
      </c>
      <c r="F61" s="8" t="s">
        <v>371</v>
      </c>
      <c r="G61" s="8" t="s">
        <v>372</v>
      </c>
      <c r="H61" s="7">
        <v>2</v>
      </c>
      <c r="I61" s="7">
        <f t="shared" si="1"/>
        <v>7</v>
      </c>
    </row>
    <row r="62" spans="1:9">
      <c r="A62" s="39"/>
      <c r="B62" s="36" t="s">
        <v>326</v>
      </c>
      <c r="C62" s="7">
        <v>6</v>
      </c>
      <c r="D62" s="7" t="s">
        <v>84</v>
      </c>
      <c r="E62" s="8" t="s">
        <v>318</v>
      </c>
      <c r="F62" s="8">
        <v>609489443</v>
      </c>
      <c r="G62" s="8">
        <v>697908660</v>
      </c>
      <c r="H62" s="7">
        <v>2</v>
      </c>
      <c r="I62" s="7">
        <f t="shared" si="1"/>
        <v>6</v>
      </c>
    </row>
    <row r="63" spans="1:9">
      <c r="A63" s="39"/>
      <c r="B63" s="36" t="s">
        <v>101</v>
      </c>
      <c r="C63" s="7">
        <v>2</v>
      </c>
      <c r="D63" s="7" t="s">
        <v>84</v>
      </c>
      <c r="E63" s="8" t="s">
        <v>73</v>
      </c>
      <c r="F63" s="8" t="s">
        <v>102</v>
      </c>
      <c r="G63" s="8" t="s">
        <v>103</v>
      </c>
      <c r="H63" s="7">
        <v>2</v>
      </c>
      <c r="I63" s="7">
        <f t="shared" si="1"/>
        <v>2</v>
      </c>
    </row>
    <row r="64" spans="1:9">
      <c r="A64" s="39"/>
      <c r="B64" s="36" t="s">
        <v>364</v>
      </c>
      <c r="C64" s="7">
        <v>7</v>
      </c>
      <c r="D64" s="7" t="s">
        <v>84</v>
      </c>
      <c r="E64" s="8" t="s">
        <v>344</v>
      </c>
      <c r="F64" s="8" t="s">
        <v>365</v>
      </c>
      <c r="G64" s="8" t="s">
        <v>366</v>
      </c>
      <c r="H64" s="7">
        <v>2</v>
      </c>
      <c r="I64" s="7">
        <f t="shared" si="1"/>
        <v>7</v>
      </c>
    </row>
    <row r="65" spans="1:9">
      <c r="A65" s="39"/>
      <c r="B65" s="36" t="s">
        <v>311</v>
      </c>
      <c r="C65" s="7">
        <v>6</v>
      </c>
      <c r="D65" s="7" t="s">
        <v>24</v>
      </c>
      <c r="E65" s="8" t="s">
        <v>302</v>
      </c>
      <c r="F65" s="8" t="s">
        <v>308</v>
      </c>
      <c r="G65" s="8" t="s">
        <v>309</v>
      </c>
      <c r="H65" s="7">
        <v>2</v>
      </c>
      <c r="I65" s="7">
        <f t="shared" si="1"/>
        <v>6</v>
      </c>
    </row>
    <row r="66" spans="1:9">
      <c r="A66" s="39"/>
      <c r="B66" s="36" t="s">
        <v>25</v>
      </c>
      <c r="C66" s="7">
        <v>1</v>
      </c>
      <c r="D66" s="7" t="s">
        <v>24</v>
      </c>
      <c r="E66" s="8" t="s">
        <v>20</v>
      </c>
      <c r="F66" s="8" t="s">
        <v>22</v>
      </c>
      <c r="G66" s="8" t="s">
        <v>23</v>
      </c>
      <c r="H66" s="7">
        <v>2</v>
      </c>
      <c r="I66" s="7">
        <f t="shared" si="1"/>
        <v>1</v>
      </c>
    </row>
    <row r="67" spans="1:9">
      <c r="A67" s="39"/>
      <c r="B67" s="36" t="s">
        <v>218</v>
      </c>
      <c r="C67" s="7">
        <v>4</v>
      </c>
      <c r="D67" s="7" t="s">
        <v>24</v>
      </c>
      <c r="E67" s="8" t="s">
        <v>215</v>
      </c>
      <c r="F67" s="8" t="s">
        <v>219</v>
      </c>
      <c r="G67" s="8" t="s">
        <v>220</v>
      </c>
      <c r="H67" s="7">
        <v>2</v>
      </c>
      <c r="I67" s="7">
        <f t="shared" si="1"/>
        <v>4</v>
      </c>
    </row>
    <row r="68" spans="1:9">
      <c r="A68" s="39"/>
      <c r="B68" s="36" t="s">
        <v>331</v>
      </c>
      <c r="C68" s="7">
        <v>6</v>
      </c>
      <c r="D68" s="7" t="s">
        <v>24</v>
      </c>
      <c r="E68" s="8" t="s">
        <v>329</v>
      </c>
      <c r="F68" s="8">
        <v>666434231</v>
      </c>
      <c r="G68" s="8">
        <v>600772781</v>
      </c>
      <c r="H68" s="7">
        <v>2</v>
      </c>
      <c r="I68" s="7">
        <f t="shared" si="1"/>
        <v>6</v>
      </c>
    </row>
    <row r="69" spans="1:9">
      <c r="A69" s="39"/>
      <c r="B69" s="36" t="s">
        <v>389</v>
      </c>
      <c r="C69" s="7">
        <v>8</v>
      </c>
      <c r="D69" s="7" t="s">
        <v>24</v>
      </c>
      <c r="E69" s="8" t="s">
        <v>388</v>
      </c>
      <c r="F69" s="8" t="s">
        <v>390</v>
      </c>
      <c r="G69" s="8" t="s">
        <v>391</v>
      </c>
      <c r="H69" s="7">
        <v>2</v>
      </c>
      <c r="I69" s="7">
        <f t="shared" si="1"/>
        <v>8</v>
      </c>
    </row>
    <row r="70" spans="1:9">
      <c r="A70" s="39"/>
      <c r="B70" s="36" t="s">
        <v>288</v>
      </c>
      <c r="C70" s="7">
        <v>6</v>
      </c>
      <c r="D70" s="7" t="s">
        <v>24</v>
      </c>
      <c r="E70" s="8" t="s">
        <v>278</v>
      </c>
      <c r="F70" s="8" t="s">
        <v>289</v>
      </c>
      <c r="G70" s="8" t="s">
        <v>290</v>
      </c>
      <c r="H70" s="7">
        <v>2</v>
      </c>
      <c r="I70" s="7">
        <f t="shared" ref="I70:I101" si="2">IF(A70="",$C70,IF(A70="x","NO VA HOY",A70))</f>
        <v>6</v>
      </c>
    </row>
    <row r="71" spans="1:9">
      <c r="A71" s="39"/>
      <c r="B71" s="36" t="s">
        <v>190</v>
      </c>
      <c r="C71" s="7">
        <v>4</v>
      </c>
      <c r="D71" s="7" t="s">
        <v>24</v>
      </c>
      <c r="E71" s="8" t="s">
        <v>183</v>
      </c>
      <c r="F71" s="8" t="s">
        <v>188</v>
      </c>
      <c r="G71" s="8" t="s">
        <v>189</v>
      </c>
      <c r="H71" s="7">
        <v>2</v>
      </c>
      <c r="I71" s="7">
        <f t="shared" si="2"/>
        <v>4</v>
      </c>
    </row>
    <row r="72" spans="1:9">
      <c r="A72" s="39"/>
      <c r="B72" s="36" t="s">
        <v>417</v>
      </c>
      <c r="C72" s="7">
        <v>8</v>
      </c>
      <c r="D72" s="7" t="s">
        <v>24</v>
      </c>
      <c r="E72" s="8" t="s">
        <v>410</v>
      </c>
      <c r="F72" s="8" t="s">
        <v>415</v>
      </c>
      <c r="G72" s="8" t="s">
        <v>416</v>
      </c>
      <c r="H72" s="7">
        <v>2</v>
      </c>
      <c r="I72" s="7">
        <f t="shared" si="2"/>
        <v>8</v>
      </c>
    </row>
    <row r="73" spans="1:9">
      <c r="A73" s="39"/>
      <c r="B73" s="36" t="s">
        <v>70</v>
      </c>
      <c r="C73" s="7">
        <v>2</v>
      </c>
      <c r="D73" s="7" t="s">
        <v>24</v>
      </c>
      <c r="E73" s="8" t="s">
        <v>69</v>
      </c>
      <c r="F73" s="8" t="s">
        <v>71</v>
      </c>
      <c r="G73" s="8" t="s">
        <v>72</v>
      </c>
      <c r="H73" s="7">
        <v>2</v>
      </c>
      <c r="I73" s="7">
        <f t="shared" si="2"/>
        <v>2</v>
      </c>
    </row>
    <row r="74" spans="1:9">
      <c r="A74" s="39"/>
      <c r="B74" s="36" t="s">
        <v>97</v>
      </c>
      <c r="C74" s="7">
        <v>2</v>
      </c>
      <c r="D74" s="7" t="s">
        <v>24</v>
      </c>
      <c r="E74" s="8" t="s">
        <v>73</v>
      </c>
      <c r="F74" s="8">
        <v>627238800</v>
      </c>
      <c r="G74" s="8">
        <v>616506750</v>
      </c>
      <c r="H74" s="7">
        <v>2</v>
      </c>
      <c r="I74" s="7">
        <f t="shared" si="2"/>
        <v>2</v>
      </c>
    </row>
    <row r="75" spans="1:9">
      <c r="A75" s="39"/>
      <c r="B75" s="36" t="s">
        <v>198</v>
      </c>
      <c r="C75" s="7">
        <v>4</v>
      </c>
      <c r="D75" s="7" t="s">
        <v>11</v>
      </c>
      <c r="E75" s="8" t="s">
        <v>195</v>
      </c>
      <c r="F75" s="8" t="s">
        <v>199</v>
      </c>
      <c r="G75" s="8" t="s">
        <v>200</v>
      </c>
      <c r="H75" s="7">
        <v>2</v>
      </c>
      <c r="I75" s="7">
        <f t="shared" si="2"/>
        <v>4</v>
      </c>
    </row>
    <row r="76" spans="1:9">
      <c r="A76" s="39"/>
      <c r="B76" s="36" t="s">
        <v>79</v>
      </c>
      <c r="C76" s="7">
        <v>2</v>
      </c>
      <c r="D76" s="7" t="s">
        <v>11</v>
      </c>
      <c r="E76" s="8" t="s">
        <v>73</v>
      </c>
      <c r="F76" s="8" t="s">
        <v>80</v>
      </c>
      <c r="G76" s="8" t="s">
        <v>81</v>
      </c>
      <c r="H76" s="7">
        <v>2</v>
      </c>
      <c r="I76" s="7">
        <f t="shared" si="2"/>
        <v>2</v>
      </c>
    </row>
    <row r="77" spans="1:9">
      <c r="A77" s="39"/>
      <c r="B77" s="36" t="s">
        <v>264</v>
      </c>
      <c r="C77" s="7">
        <v>6</v>
      </c>
      <c r="D77" s="7" t="s">
        <v>11</v>
      </c>
      <c r="E77" s="8" t="s">
        <v>263</v>
      </c>
      <c r="F77" s="8" t="s">
        <v>265</v>
      </c>
      <c r="G77" s="8">
        <v>610512278</v>
      </c>
      <c r="H77" s="7">
        <v>2</v>
      </c>
      <c r="I77" s="7">
        <f t="shared" si="2"/>
        <v>6</v>
      </c>
    </row>
    <row r="78" spans="1:9">
      <c r="A78" s="39"/>
      <c r="B78" s="36" t="s">
        <v>348</v>
      </c>
      <c r="C78" s="7">
        <v>7</v>
      </c>
      <c r="D78" s="7" t="s">
        <v>11</v>
      </c>
      <c r="E78" s="8" t="s">
        <v>344</v>
      </c>
      <c r="F78" s="8" t="s">
        <v>349</v>
      </c>
      <c r="G78" s="8">
        <v>656161593</v>
      </c>
      <c r="H78" s="7">
        <v>2</v>
      </c>
      <c r="I78" s="7">
        <f t="shared" si="2"/>
        <v>7</v>
      </c>
    </row>
    <row r="79" spans="1:9">
      <c r="A79" s="39"/>
      <c r="B79" s="36" t="s">
        <v>12</v>
      </c>
      <c r="C79" s="7">
        <v>1</v>
      </c>
      <c r="D79" s="7" t="s">
        <v>11</v>
      </c>
      <c r="E79" s="8" t="s">
        <v>7</v>
      </c>
      <c r="F79" s="8" t="s">
        <v>13</v>
      </c>
      <c r="G79" s="8" t="s">
        <v>14</v>
      </c>
      <c r="H79" s="7">
        <v>2</v>
      </c>
      <c r="I79" s="7">
        <f t="shared" si="2"/>
        <v>1</v>
      </c>
    </row>
    <row r="80" spans="1:9">
      <c r="A80" s="39"/>
      <c r="B80" s="36" t="s">
        <v>122</v>
      </c>
      <c r="C80" s="7">
        <v>2</v>
      </c>
      <c r="D80" s="7" t="s">
        <v>11</v>
      </c>
      <c r="E80" s="8" t="s">
        <v>121</v>
      </c>
      <c r="F80" s="8" t="s">
        <v>123</v>
      </c>
      <c r="G80" s="8" t="s">
        <v>124</v>
      </c>
      <c r="H80" s="7">
        <v>2</v>
      </c>
      <c r="I80" s="7">
        <f t="shared" si="2"/>
        <v>2</v>
      </c>
    </row>
    <row r="81" spans="1:9">
      <c r="A81" s="39"/>
      <c r="B81" s="36" t="s">
        <v>88</v>
      </c>
      <c r="C81" s="7">
        <v>2</v>
      </c>
      <c r="D81" s="7" t="s">
        <v>11</v>
      </c>
      <c r="E81" s="8" t="s">
        <v>73</v>
      </c>
      <c r="F81" s="8" t="s">
        <v>89</v>
      </c>
      <c r="G81" s="8" t="s">
        <v>90</v>
      </c>
      <c r="H81" s="7">
        <v>2</v>
      </c>
      <c r="I81" s="7">
        <f t="shared" si="2"/>
        <v>2</v>
      </c>
    </row>
    <row r="82" spans="1:9">
      <c r="A82" s="39"/>
      <c r="B82" s="36" t="s">
        <v>221</v>
      </c>
      <c r="C82" s="7">
        <v>4</v>
      </c>
      <c r="D82" s="7" t="s">
        <v>11</v>
      </c>
      <c r="E82" s="8" t="s">
        <v>215</v>
      </c>
      <c r="F82" s="8" t="s">
        <v>222</v>
      </c>
      <c r="G82" s="8" t="s">
        <v>223</v>
      </c>
      <c r="H82" s="7">
        <v>2</v>
      </c>
      <c r="I82" s="7">
        <f t="shared" si="2"/>
        <v>4</v>
      </c>
    </row>
    <row r="83" spans="1:9">
      <c r="A83" s="39"/>
      <c r="B83" s="36" t="s">
        <v>206</v>
      </c>
      <c r="C83" s="7">
        <v>4</v>
      </c>
      <c r="D83" s="7" t="s">
        <v>11</v>
      </c>
      <c r="E83" s="8" t="s">
        <v>195</v>
      </c>
      <c r="F83" s="8" t="s">
        <v>207</v>
      </c>
      <c r="G83" s="8" t="s">
        <v>208</v>
      </c>
      <c r="H83" s="7">
        <v>2</v>
      </c>
      <c r="I83" s="7">
        <f t="shared" si="2"/>
        <v>4</v>
      </c>
    </row>
    <row r="84" spans="1:9">
      <c r="A84" s="39"/>
      <c r="B84" s="36" t="s">
        <v>342</v>
      </c>
      <c r="C84" s="7">
        <v>7</v>
      </c>
      <c r="D84" s="7" t="s">
        <v>11</v>
      </c>
      <c r="E84" s="8" t="s">
        <v>332</v>
      </c>
      <c r="F84" s="8" t="s">
        <v>339</v>
      </c>
      <c r="G84" s="8" t="s">
        <v>340</v>
      </c>
      <c r="H84" s="7">
        <v>2</v>
      </c>
      <c r="I84" s="7">
        <f t="shared" si="2"/>
        <v>7</v>
      </c>
    </row>
    <row r="85" spans="1:9">
      <c r="A85" s="39"/>
      <c r="B85" s="36" t="s">
        <v>385</v>
      </c>
      <c r="C85" s="7">
        <v>7</v>
      </c>
      <c r="D85" s="7" t="s">
        <v>11</v>
      </c>
      <c r="E85" s="8" t="s">
        <v>377</v>
      </c>
      <c r="F85" s="8" t="s">
        <v>386</v>
      </c>
      <c r="G85" s="8" t="s">
        <v>387</v>
      </c>
      <c r="H85" s="7">
        <v>2</v>
      </c>
      <c r="I85" s="7">
        <f t="shared" si="2"/>
        <v>7</v>
      </c>
    </row>
    <row r="86" spans="1:9">
      <c r="A86" s="39"/>
      <c r="B86" s="36" t="s">
        <v>137</v>
      </c>
      <c r="C86" s="7">
        <v>3</v>
      </c>
      <c r="D86" s="7" t="s">
        <v>127</v>
      </c>
      <c r="E86" s="8" t="s">
        <v>130</v>
      </c>
      <c r="F86" s="8" t="s">
        <v>138</v>
      </c>
      <c r="G86" s="8" t="s">
        <v>139</v>
      </c>
      <c r="H86" s="7">
        <v>2</v>
      </c>
      <c r="I86" s="7">
        <f t="shared" si="2"/>
        <v>3</v>
      </c>
    </row>
    <row r="87" spans="1:9">
      <c r="A87" s="39"/>
      <c r="B87" s="36" t="s">
        <v>426</v>
      </c>
      <c r="C87" s="7">
        <v>8</v>
      </c>
      <c r="D87" s="7" t="s">
        <v>127</v>
      </c>
      <c r="E87" s="8" t="s">
        <v>418</v>
      </c>
      <c r="F87" s="8" t="s">
        <v>424</v>
      </c>
      <c r="G87" s="8" t="s">
        <v>425</v>
      </c>
      <c r="H87" s="7">
        <v>2</v>
      </c>
      <c r="I87" s="7">
        <f t="shared" si="2"/>
        <v>8</v>
      </c>
    </row>
    <row r="88" spans="1:9">
      <c r="A88" s="39"/>
      <c r="B88" s="36" t="s">
        <v>403</v>
      </c>
      <c r="C88" s="7">
        <v>8</v>
      </c>
      <c r="D88" s="7" t="s">
        <v>127</v>
      </c>
      <c r="E88" s="8" t="s">
        <v>395</v>
      </c>
      <c r="F88" s="8" t="s">
        <v>401</v>
      </c>
      <c r="G88" s="8" t="s">
        <v>402</v>
      </c>
      <c r="H88" s="7">
        <v>2</v>
      </c>
      <c r="I88" s="7">
        <f t="shared" si="2"/>
        <v>8</v>
      </c>
    </row>
    <row r="89" spans="1:9">
      <c r="A89" s="39"/>
      <c r="B89" s="36" t="s">
        <v>336</v>
      </c>
      <c r="C89" s="7">
        <v>7</v>
      </c>
      <c r="D89" s="7" t="s">
        <v>127</v>
      </c>
      <c r="E89" s="8" t="s">
        <v>332</v>
      </c>
      <c r="F89" s="8">
        <v>629784634</v>
      </c>
      <c r="G89" s="8">
        <v>619017869</v>
      </c>
      <c r="H89" s="7">
        <v>2</v>
      </c>
      <c r="I89" s="7">
        <f t="shared" si="2"/>
        <v>7</v>
      </c>
    </row>
    <row r="90" spans="1:9">
      <c r="A90" s="39"/>
      <c r="B90" s="36" t="s">
        <v>231</v>
      </c>
      <c r="C90" s="7">
        <v>5</v>
      </c>
      <c r="D90" s="7" t="s">
        <v>127</v>
      </c>
      <c r="E90" s="8" t="s">
        <v>226</v>
      </c>
      <c r="F90" s="8" t="s">
        <v>232</v>
      </c>
      <c r="G90" s="8" t="s">
        <v>233</v>
      </c>
      <c r="H90" s="7">
        <v>2</v>
      </c>
      <c r="I90" s="7">
        <f t="shared" si="2"/>
        <v>5</v>
      </c>
    </row>
    <row r="91" spans="1:9">
      <c r="A91" s="39"/>
      <c r="B91" s="36" t="s">
        <v>128</v>
      </c>
      <c r="C91" s="7">
        <v>2</v>
      </c>
      <c r="D91" s="7" t="s">
        <v>127</v>
      </c>
      <c r="E91" s="8" t="s">
        <v>125</v>
      </c>
      <c r="F91" s="8">
        <v>660388598</v>
      </c>
      <c r="G91" s="8">
        <v>618183862</v>
      </c>
      <c r="H91" s="7">
        <v>2</v>
      </c>
      <c r="I91" s="7">
        <f t="shared" si="2"/>
        <v>2</v>
      </c>
    </row>
    <row r="92" spans="1:9">
      <c r="A92" s="39"/>
      <c r="B92" s="36" t="s">
        <v>194</v>
      </c>
      <c r="C92" s="7">
        <v>4</v>
      </c>
      <c r="D92" s="7" t="s">
        <v>127</v>
      </c>
      <c r="E92" s="8" t="s">
        <v>183</v>
      </c>
      <c r="F92" s="8" t="s">
        <v>192</v>
      </c>
      <c r="G92" s="8" t="s">
        <v>193</v>
      </c>
      <c r="H92" s="7">
        <v>2</v>
      </c>
      <c r="I92" s="7">
        <f t="shared" si="2"/>
        <v>4</v>
      </c>
    </row>
    <row r="93" spans="1:9">
      <c r="A93" s="39">
        <v>5</v>
      </c>
      <c r="B93" s="36" t="s">
        <v>409</v>
      </c>
      <c r="C93" s="7">
        <v>8</v>
      </c>
      <c r="D93" s="7" t="s">
        <v>127</v>
      </c>
      <c r="E93" s="8" t="s">
        <v>395</v>
      </c>
      <c r="F93" s="8" t="s">
        <v>406</v>
      </c>
      <c r="G93" s="8" t="s">
        <v>407</v>
      </c>
      <c r="H93" s="7">
        <v>2</v>
      </c>
      <c r="I93" s="7">
        <f t="shared" si="2"/>
        <v>5</v>
      </c>
    </row>
    <row r="94" spans="1:9">
      <c r="A94" s="39"/>
      <c r="B94" s="36" t="s">
        <v>170</v>
      </c>
      <c r="C94" s="7">
        <v>3</v>
      </c>
      <c r="D94" s="7" t="s">
        <v>127</v>
      </c>
      <c r="E94" s="8" t="s">
        <v>166</v>
      </c>
      <c r="F94" s="8" t="s">
        <v>171</v>
      </c>
      <c r="G94" s="8" t="s">
        <v>172</v>
      </c>
      <c r="H94" s="7">
        <v>2</v>
      </c>
      <c r="I94" s="7">
        <f t="shared" si="2"/>
        <v>3</v>
      </c>
    </row>
    <row r="95" spans="1:9">
      <c r="A95" s="39"/>
      <c r="B95" s="36" t="s">
        <v>303</v>
      </c>
      <c r="C95" s="7">
        <v>6</v>
      </c>
      <c r="D95" s="7" t="s">
        <v>19</v>
      </c>
      <c r="E95" s="8" t="s">
        <v>302</v>
      </c>
      <c r="F95" s="8">
        <v>639389707</v>
      </c>
      <c r="G95" s="8">
        <v>609520020</v>
      </c>
      <c r="H95" s="7">
        <v>2</v>
      </c>
      <c r="I95" s="7">
        <f t="shared" si="2"/>
        <v>6</v>
      </c>
    </row>
    <row r="96" spans="1:9">
      <c r="A96" s="39"/>
      <c r="B96" s="36" t="s">
        <v>49</v>
      </c>
      <c r="C96" s="7">
        <v>1</v>
      </c>
      <c r="D96" s="7" t="s">
        <v>19</v>
      </c>
      <c r="E96" s="8" t="s">
        <v>43</v>
      </c>
      <c r="F96" s="8" t="s">
        <v>45</v>
      </c>
      <c r="G96" s="8" t="s">
        <v>46</v>
      </c>
      <c r="H96" s="7">
        <v>2</v>
      </c>
      <c r="I96" s="7">
        <f t="shared" si="2"/>
        <v>1</v>
      </c>
    </row>
    <row r="97" spans="1:9">
      <c r="A97" s="39"/>
      <c r="B97" s="36" t="s">
        <v>74</v>
      </c>
      <c r="C97" s="7">
        <v>2</v>
      </c>
      <c r="D97" s="7" t="s">
        <v>19</v>
      </c>
      <c r="E97" s="8" t="s">
        <v>73</v>
      </c>
      <c r="F97" s="8" t="s">
        <v>75</v>
      </c>
      <c r="G97" s="8" t="s">
        <v>76</v>
      </c>
      <c r="H97" s="7">
        <v>2</v>
      </c>
      <c r="I97" s="7">
        <f t="shared" si="2"/>
        <v>2</v>
      </c>
    </row>
    <row r="98" spans="1:9">
      <c r="A98" s="39"/>
      <c r="B98" s="36" t="s">
        <v>196</v>
      </c>
      <c r="C98" s="7">
        <v>4</v>
      </c>
      <c r="D98" s="7" t="s">
        <v>19</v>
      </c>
      <c r="E98" s="8" t="s">
        <v>195</v>
      </c>
      <c r="F98" s="8">
        <v>687477172</v>
      </c>
      <c r="G98" s="8">
        <v>606228537</v>
      </c>
      <c r="H98" s="7">
        <v>2</v>
      </c>
      <c r="I98" s="7">
        <f t="shared" si="2"/>
        <v>4</v>
      </c>
    </row>
    <row r="99" spans="1:9">
      <c r="A99" s="39"/>
      <c r="B99" s="36" t="s">
        <v>304</v>
      </c>
      <c r="C99" s="7">
        <v>6</v>
      </c>
      <c r="D99" s="7" t="s">
        <v>19</v>
      </c>
      <c r="E99" s="8" t="s">
        <v>302</v>
      </c>
      <c r="F99" s="8" t="s">
        <v>305</v>
      </c>
      <c r="G99" s="8" t="s">
        <v>306</v>
      </c>
      <c r="H99" s="7">
        <v>2</v>
      </c>
      <c r="I99" s="7">
        <f t="shared" si="2"/>
        <v>6</v>
      </c>
    </row>
    <row r="100" spans="1:9">
      <c r="A100" s="39"/>
      <c r="B100" s="36" t="s">
        <v>21</v>
      </c>
      <c r="C100" s="7">
        <v>1</v>
      </c>
      <c r="D100" s="7" t="s">
        <v>19</v>
      </c>
      <c r="E100" s="8" t="s">
        <v>20</v>
      </c>
      <c r="F100" s="8" t="s">
        <v>22</v>
      </c>
      <c r="G100" s="8" t="s">
        <v>23</v>
      </c>
      <c r="H100" s="7">
        <v>2</v>
      </c>
      <c r="I100" s="7">
        <f t="shared" si="2"/>
        <v>1</v>
      </c>
    </row>
    <row r="101" spans="1:9">
      <c r="A101" s="39"/>
      <c r="B101" s="36" t="s">
        <v>251</v>
      </c>
      <c r="C101" s="7">
        <v>5</v>
      </c>
      <c r="D101" s="7" t="s">
        <v>19</v>
      </c>
      <c r="E101" s="8" t="s">
        <v>249</v>
      </c>
      <c r="F101" s="8">
        <v>670668441</v>
      </c>
      <c r="G101" s="8">
        <v>637858942</v>
      </c>
      <c r="H101" s="7">
        <v>2</v>
      </c>
      <c r="I101" s="7">
        <f t="shared" si="2"/>
        <v>5</v>
      </c>
    </row>
    <row r="102" spans="1:9">
      <c r="A102" s="39"/>
      <c r="B102" s="36" t="s">
        <v>381</v>
      </c>
      <c r="C102" s="7">
        <v>7</v>
      </c>
      <c r="D102" s="7" t="s">
        <v>19</v>
      </c>
      <c r="E102" s="8" t="s">
        <v>377</v>
      </c>
      <c r="F102" s="8" t="s">
        <v>379</v>
      </c>
      <c r="G102" s="8" t="s">
        <v>380</v>
      </c>
      <c r="H102" s="7">
        <v>2</v>
      </c>
      <c r="I102" s="7">
        <f t="shared" ref="I102:I133" si="3">IF(A102="",$C102,IF(A102="x","NO VA HOY",A102))</f>
        <v>7</v>
      </c>
    </row>
    <row r="103" spans="1:9">
      <c r="A103" s="39"/>
      <c r="B103" s="36" t="s">
        <v>350</v>
      </c>
      <c r="C103" s="7">
        <v>7</v>
      </c>
      <c r="D103" s="7" t="s">
        <v>19</v>
      </c>
      <c r="E103" s="8" t="s">
        <v>344</v>
      </c>
      <c r="F103" s="8" t="s">
        <v>351</v>
      </c>
      <c r="G103" s="8" t="s">
        <v>352</v>
      </c>
      <c r="H103" s="7">
        <v>2</v>
      </c>
      <c r="I103" s="7">
        <f t="shared" si="3"/>
        <v>7</v>
      </c>
    </row>
    <row r="104" spans="1:9">
      <c r="A104" s="39"/>
      <c r="B104" s="36" t="s">
        <v>156</v>
      </c>
      <c r="C104" s="7">
        <v>3</v>
      </c>
      <c r="D104" s="7" t="s">
        <v>19</v>
      </c>
      <c r="E104" s="8" t="s">
        <v>155</v>
      </c>
      <c r="F104" s="8" t="s">
        <v>157</v>
      </c>
      <c r="G104" s="8" t="s">
        <v>158</v>
      </c>
      <c r="H104" s="7">
        <v>2</v>
      </c>
      <c r="I104" s="7">
        <f t="shared" si="3"/>
        <v>3</v>
      </c>
    </row>
    <row r="105" spans="1:9">
      <c r="A105" s="39"/>
      <c r="B105" s="36" t="s">
        <v>118</v>
      </c>
      <c r="C105" s="7">
        <v>2</v>
      </c>
      <c r="D105" s="7" t="s">
        <v>19</v>
      </c>
      <c r="E105" s="8" t="s">
        <v>110</v>
      </c>
      <c r="F105" s="8" t="s">
        <v>119</v>
      </c>
      <c r="G105" s="8" t="s">
        <v>120</v>
      </c>
      <c r="H105" s="7">
        <v>2</v>
      </c>
      <c r="I105" s="7">
        <f t="shared" si="3"/>
        <v>2</v>
      </c>
    </row>
    <row r="106" spans="1:9">
      <c r="A106" s="39"/>
      <c r="B106" s="36" t="s">
        <v>259</v>
      </c>
      <c r="C106" s="7">
        <v>5</v>
      </c>
      <c r="D106" s="7" t="s">
        <v>50</v>
      </c>
      <c r="E106" s="8" t="s">
        <v>255</v>
      </c>
      <c r="F106" s="8" t="s">
        <v>257</v>
      </c>
      <c r="G106" s="8" t="s">
        <v>258</v>
      </c>
      <c r="H106" s="7">
        <v>2</v>
      </c>
      <c r="I106" s="7">
        <f t="shared" si="3"/>
        <v>5</v>
      </c>
    </row>
    <row r="107" spans="1:9">
      <c r="A107" s="39"/>
      <c r="B107" s="36" t="s">
        <v>270</v>
      </c>
      <c r="C107" s="7">
        <v>6</v>
      </c>
      <c r="D107" s="7" t="s">
        <v>50</v>
      </c>
      <c r="E107" s="8" t="s">
        <v>263</v>
      </c>
      <c r="F107" s="8" t="s">
        <v>268</v>
      </c>
      <c r="G107" s="8" t="s">
        <v>269</v>
      </c>
      <c r="H107" s="7">
        <v>2</v>
      </c>
      <c r="I107" s="7">
        <f t="shared" si="3"/>
        <v>6</v>
      </c>
    </row>
    <row r="108" spans="1:9">
      <c r="A108" s="39"/>
      <c r="B108" s="36" t="s">
        <v>131</v>
      </c>
      <c r="C108" s="7">
        <v>3</v>
      </c>
      <c r="D108" s="7" t="s">
        <v>50</v>
      </c>
      <c r="E108" s="8" t="s">
        <v>130</v>
      </c>
      <c r="F108" s="8" t="s">
        <v>132</v>
      </c>
      <c r="G108" s="8" t="s">
        <v>133</v>
      </c>
      <c r="H108" s="7">
        <v>2</v>
      </c>
      <c r="I108" s="7">
        <f t="shared" si="3"/>
        <v>3</v>
      </c>
    </row>
    <row r="109" spans="1:9">
      <c r="A109" s="39"/>
      <c r="B109" s="36" t="s">
        <v>330</v>
      </c>
      <c r="C109" s="7">
        <v>6</v>
      </c>
      <c r="D109" s="7" t="s">
        <v>50</v>
      </c>
      <c r="E109" s="8" t="s">
        <v>329</v>
      </c>
      <c r="F109" s="8">
        <v>666434231</v>
      </c>
      <c r="G109" s="8">
        <v>600772781</v>
      </c>
      <c r="H109" s="7">
        <v>2</v>
      </c>
      <c r="I109" s="7">
        <f t="shared" si="3"/>
        <v>6</v>
      </c>
    </row>
    <row r="110" spans="1:9">
      <c r="A110" s="39"/>
      <c r="B110" s="36" t="s">
        <v>357</v>
      </c>
      <c r="C110" s="7">
        <v>7</v>
      </c>
      <c r="D110" s="7" t="s">
        <v>50</v>
      </c>
      <c r="E110" s="8" t="s">
        <v>344</v>
      </c>
      <c r="F110" s="8" t="s">
        <v>358</v>
      </c>
      <c r="G110" s="8" t="s">
        <v>359</v>
      </c>
      <c r="H110" s="7">
        <v>2</v>
      </c>
      <c r="I110" s="7">
        <f t="shared" si="3"/>
        <v>7</v>
      </c>
    </row>
    <row r="111" spans="1:9">
      <c r="A111" s="39"/>
      <c r="B111" s="36" t="s">
        <v>51</v>
      </c>
      <c r="C111" s="7">
        <v>1</v>
      </c>
      <c r="D111" s="7" t="s">
        <v>50</v>
      </c>
      <c r="E111" s="8" t="s">
        <v>43</v>
      </c>
      <c r="F111" s="8" t="s">
        <v>52</v>
      </c>
      <c r="G111" s="8" t="s">
        <v>53</v>
      </c>
      <c r="H111" s="7">
        <v>2</v>
      </c>
      <c r="I111" s="7">
        <f t="shared" si="3"/>
        <v>1</v>
      </c>
    </row>
    <row r="112" spans="1:9">
      <c r="A112" s="39"/>
      <c r="B112" s="36" t="s">
        <v>66</v>
      </c>
      <c r="C112" s="7">
        <v>1</v>
      </c>
      <c r="D112" s="7" t="s">
        <v>50</v>
      </c>
      <c r="E112" s="8" t="s">
        <v>57</v>
      </c>
      <c r="F112" s="8" t="s">
        <v>67</v>
      </c>
      <c r="G112" s="8" t="s">
        <v>68</v>
      </c>
      <c r="H112" s="7">
        <v>2</v>
      </c>
      <c r="I112" s="7">
        <f t="shared" si="3"/>
        <v>1</v>
      </c>
    </row>
    <row r="113" spans="1:9">
      <c r="A113" s="39"/>
      <c r="B113" s="36" t="s">
        <v>247</v>
      </c>
      <c r="C113" s="7">
        <v>5</v>
      </c>
      <c r="D113" s="7" t="s">
        <v>50</v>
      </c>
      <c r="E113" s="8" t="s">
        <v>236</v>
      </c>
      <c r="F113" s="8">
        <v>619115659</v>
      </c>
      <c r="G113" s="8">
        <v>646833787</v>
      </c>
      <c r="H113" s="7">
        <v>2</v>
      </c>
      <c r="I113" s="7">
        <f t="shared" si="3"/>
        <v>5</v>
      </c>
    </row>
    <row r="114" spans="1:9">
      <c r="A114" s="39"/>
      <c r="B114" s="36" t="s">
        <v>327</v>
      </c>
      <c r="C114" s="7">
        <v>6</v>
      </c>
      <c r="D114" s="7" t="s">
        <v>50</v>
      </c>
      <c r="E114" s="8" t="s">
        <v>318</v>
      </c>
      <c r="F114" s="8">
        <v>609489443</v>
      </c>
      <c r="G114" s="8">
        <v>697908660</v>
      </c>
      <c r="H114" s="7">
        <v>2</v>
      </c>
      <c r="I114" s="7">
        <f t="shared" si="3"/>
        <v>6</v>
      </c>
    </row>
    <row r="115" spans="1:9">
      <c r="A115" s="39"/>
      <c r="B115" s="36" t="s">
        <v>328</v>
      </c>
      <c r="C115" s="7">
        <v>6</v>
      </c>
      <c r="D115" s="7" t="s">
        <v>50</v>
      </c>
      <c r="E115" s="8" t="s">
        <v>318</v>
      </c>
      <c r="F115" s="8">
        <v>659029295</v>
      </c>
      <c r="G115" s="8">
        <v>646810869</v>
      </c>
      <c r="H115" s="7">
        <v>2</v>
      </c>
      <c r="I115" s="7">
        <f t="shared" si="3"/>
        <v>6</v>
      </c>
    </row>
    <row r="116" spans="1:9">
      <c r="A116" s="39"/>
      <c r="B116" s="36" t="s">
        <v>272</v>
      </c>
      <c r="C116" s="7">
        <v>6</v>
      </c>
      <c r="D116" s="7" t="s">
        <v>50</v>
      </c>
      <c r="E116" s="8" t="s">
        <v>263</v>
      </c>
      <c r="F116" s="8" t="s">
        <v>273</v>
      </c>
      <c r="G116" s="8" t="s">
        <v>274</v>
      </c>
      <c r="H116" s="7">
        <v>2</v>
      </c>
      <c r="I116" s="7">
        <f t="shared" si="3"/>
        <v>6</v>
      </c>
    </row>
    <row r="117" spans="1:9">
      <c r="A117" s="39"/>
      <c r="B117" s="36" t="s">
        <v>297</v>
      </c>
      <c r="C117" s="7">
        <v>6</v>
      </c>
      <c r="D117" s="7" t="s">
        <v>86</v>
      </c>
      <c r="E117" s="8" t="s">
        <v>295</v>
      </c>
      <c r="F117" s="8">
        <v>649453295</v>
      </c>
      <c r="G117" s="8">
        <v>649967088</v>
      </c>
      <c r="H117" s="7">
        <v>2</v>
      </c>
      <c r="I117" s="7">
        <f t="shared" si="3"/>
        <v>6</v>
      </c>
    </row>
    <row r="118" spans="1:9">
      <c r="A118" s="39"/>
      <c r="B118" s="36" t="s">
        <v>87</v>
      </c>
      <c r="C118" s="7">
        <v>2</v>
      </c>
      <c r="D118" s="7" t="s">
        <v>86</v>
      </c>
      <c r="E118" s="8" t="s">
        <v>73</v>
      </c>
      <c r="F118" s="8">
        <v>650581254</v>
      </c>
      <c r="G118" s="8">
        <v>669506241</v>
      </c>
      <c r="H118" s="7">
        <v>2</v>
      </c>
      <c r="I118" s="7">
        <f t="shared" si="3"/>
        <v>2</v>
      </c>
    </row>
    <row r="119" spans="1:9">
      <c r="A119" s="39"/>
      <c r="B119" s="36" t="s">
        <v>256</v>
      </c>
      <c r="C119" s="7">
        <v>5</v>
      </c>
      <c r="D119" s="7" t="s">
        <v>86</v>
      </c>
      <c r="E119" s="8" t="s">
        <v>255</v>
      </c>
      <c r="F119" s="8" t="s">
        <v>257</v>
      </c>
      <c r="G119" s="8" t="s">
        <v>258</v>
      </c>
      <c r="H119" s="7">
        <v>2</v>
      </c>
      <c r="I119" s="7">
        <f t="shared" si="3"/>
        <v>5</v>
      </c>
    </row>
    <row r="120" spans="1:9">
      <c r="A120" s="39"/>
      <c r="B120" s="36" t="s">
        <v>202</v>
      </c>
      <c r="C120" s="7">
        <v>4</v>
      </c>
      <c r="D120" s="7" t="s">
        <v>86</v>
      </c>
      <c r="E120" s="8" t="s">
        <v>195</v>
      </c>
      <c r="F120" s="33" t="s">
        <v>453</v>
      </c>
      <c r="G120" s="33" t="s">
        <v>452</v>
      </c>
      <c r="H120" s="7">
        <v>2</v>
      </c>
      <c r="I120" s="7">
        <f t="shared" si="3"/>
        <v>4</v>
      </c>
    </row>
    <row r="121" spans="1:9">
      <c r="A121" s="39"/>
      <c r="B121" s="36" t="s">
        <v>114</v>
      </c>
      <c r="C121" s="7">
        <v>2</v>
      </c>
      <c r="D121" s="7" t="s">
        <v>86</v>
      </c>
      <c r="E121" s="8" t="s">
        <v>110</v>
      </c>
      <c r="F121" s="8" t="s">
        <v>115</v>
      </c>
      <c r="G121" s="8" t="s">
        <v>116</v>
      </c>
      <c r="H121" s="7">
        <v>2</v>
      </c>
      <c r="I121" s="7">
        <f t="shared" si="3"/>
        <v>2</v>
      </c>
    </row>
    <row r="122" spans="1:9">
      <c r="A122" s="39"/>
      <c r="B122" s="36" t="s">
        <v>382</v>
      </c>
      <c r="C122" s="7">
        <v>7</v>
      </c>
      <c r="D122" s="7" t="s">
        <v>86</v>
      </c>
      <c r="E122" s="8" t="s">
        <v>377</v>
      </c>
      <c r="F122" s="8" t="s">
        <v>383</v>
      </c>
      <c r="G122" s="8" t="s">
        <v>384</v>
      </c>
      <c r="H122" s="7">
        <v>2</v>
      </c>
      <c r="I122" s="7">
        <f t="shared" si="3"/>
        <v>7</v>
      </c>
    </row>
    <row r="123" spans="1:9">
      <c r="A123" s="39"/>
      <c r="B123" s="36" t="s">
        <v>210</v>
      </c>
      <c r="C123" s="7">
        <v>4</v>
      </c>
      <c r="D123" s="7" t="s">
        <v>86</v>
      </c>
      <c r="E123" s="8" t="s">
        <v>209</v>
      </c>
      <c r="F123" s="8" t="s">
        <v>211</v>
      </c>
      <c r="G123" s="8" t="s">
        <v>212</v>
      </c>
      <c r="H123" s="7">
        <v>2</v>
      </c>
      <c r="I123" s="7">
        <f t="shared" si="3"/>
        <v>4</v>
      </c>
    </row>
    <row r="124" spans="1:9">
      <c r="A124" s="39"/>
      <c r="B124" s="36" t="s">
        <v>230</v>
      </c>
      <c r="C124" s="7">
        <v>5</v>
      </c>
      <c r="D124" s="7" t="s">
        <v>9</v>
      </c>
      <c r="E124" s="8" t="s">
        <v>226</v>
      </c>
      <c r="F124" s="8" t="s">
        <v>228</v>
      </c>
      <c r="G124" s="8" t="s">
        <v>229</v>
      </c>
      <c r="H124" s="7">
        <v>2</v>
      </c>
      <c r="I124" s="7">
        <f t="shared" si="3"/>
        <v>5</v>
      </c>
    </row>
    <row r="125" spans="1:9">
      <c r="A125" s="39"/>
      <c r="B125" s="36" t="s">
        <v>10</v>
      </c>
      <c r="C125" s="7">
        <v>1</v>
      </c>
      <c r="D125" s="7" t="s">
        <v>9</v>
      </c>
      <c r="E125" s="8" t="s">
        <v>7</v>
      </c>
      <c r="F125" s="8">
        <v>669862156</v>
      </c>
      <c r="G125" s="8">
        <v>629238527</v>
      </c>
      <c r="H125" s="7">
        <v>2</v>
      </c>
      <c r="I125" s="7">
        <f t="shared" si="3"/>
        <v>1</v>
      </c>
    </row>
    <row r="126" spans="1:9">
      <c r="A126" s="39"/>
      <c r="B126" s="36" t="s">
        <v>399</v>
      </c>
      <c r="C126" s="7">
        <v>8</v>
      </c>
      <c r="D126" s="7" t="s">
        <v>9</v>
      </c>
      <c r="E126" s="8" t="s">
        <v>395</v>
      </c>
      <c r="F126" s="8" t="s">
        <v>397</v>
      </c>
      <c r="G126" s="8" t="s">
        <v>398</v>
      </c>
      <c r="H126" s="7">
        <v>2</v>
      </c>
      <c r="I126" s="7">
        <f t="shared" si="3"/>
        <v>8</v>
      </c>
    </row>
    <row r="127" spans="1:9">
      <c r="A127" s="39"/>
      <c r="B127" s="36" t="s">
        <v>26</v>
      </c>
      <c r="C127" s="7">
        <v>1</v>
      </c>
      <c r="D127" s="7" t="s">
        <v>9</v>
      </c>
      <c r="E127" s="8" t="s">
        <v>20</v>
      </c>
      <c r="F127" s="8" t="s">
        <v>27</v>
      </c>
      <c r="G127" s="8" t="s">
        <v>28</v>
      </c>
      <c r="H127" s="7">
        <v>2</v>
      </c>
      <c r="I127" s="7">
        <f t="shared" si="3"/>
        <v>1</v>
      </c>
    </row>
    <row r="128" spans="1:9">
      <c r="A128" s="39"/>
      <c r="B128" s="36" t="s">
        <v>419</v>
      </c>
      <c r="C128" s="7">
        <v>8</v>
      </c>
      <c r="D128" s="7" t="s">
        <v>9</v>
      </c>
      <c r="E128" s="8" t="s">
        <v>418</v>
      </c>
      <c r="F128" s="8" t="s">
        <v>420</v>
      </c>
      <c r="G128" s="8" t="s">
        <v>421</v>
      </c>
      <c r="H128" s="7">
        <v>2</v>
      </c>
      <c r="I128" s="7">
        <f t="shared" si="3"/>
        <v>8</v>
      </c>
    </row>
    <row r="129" spans="1:9">
      <c r="A129" s="39"/>
      <c r="B129" s="36" t="s">
        <v>414</v>
      </c>
      <c r="C129" s="7">
        <v>8</v>
      </c>
      <c r="D129" s="7" t="s">
        <v>9</v>
      </c>
      <c r="E129" s="8" t="s">
        <v>410</v>
      </c>
      <c r="F129" s="8" t="s">
        <v>415</v>
      </c>
      <c r="G129" s="8" t="s">
        <v>416</v>
      </c>
      <c r="H129" s="7">
        <v>2</v>
      </c>
      <c r="I129" s="7">
        <f t="shared" si="3"/>
        <v>8</v>
      </c>
    </row>
    <row r="130" spans="1:9">
      <c r="A130" s="39"/>
      <c r="B130" s="36" t="s">
        <v>252</v>
      </c>
      <c r="C130" s="7">
        <v>5</v>
      </c>
      <c r="D130" s="7" t="s">
        <v>9</v>
      </c>
      <c r="E130" s="8" t="s">
        <v>249</v>
      </c>
      <c r="F130" s="8">
        <v>626836122</v>
      </c>
      <c r="G130" s="8" t="s">
        <v>253</v>
      </c>
      <c r="H130" s="7">
        <v>2</v>
      </c>
      <c r="I130" s="7">
        <f t="shared" si="3"/>
        <v>5</v>
      </c>
    </row>
    <row r="131" spans="1:9">
      <c r="A131" s="39"/>
      <c r="B131" s="36" t="s">
        <v>54</v>
      </c>
      <c r="C131" s="7">
        <v>1</v>
      </c>
      <c r="D131" s="7" t="s">
        <v>9</v>
      </c>
      <c r="E131" s="8" t="s">
        <v>43</v>
      </c>
      <c r="F131" s="8" t="s">
        <v>55</v>
      </c>
      <c r="G131" s="8" t="s">
        <v>56</v>
      </c>
      <c r="H131" s="7">
        <v>2</v>
      </c>
      <c r="I131" s="7">
        <f t="shared" si="3"/>
        <v>1</v>
      </c>
    </row>
    <row r="132" spans="1:9">
      <c r="A132" s="39"/>
      <c r="B132" s="36" t="s">
        <v>261</v>
      </c>
      <c r="C132" s="7">
        <v>5</v>
      </c>
      <c r="D132" s="7" t="s">
        <v>9</v>
      </c>
      <c r="E132" s="8" t="s">
        <v>260</v>
      </c>
      <c r="F132" s="8" t="s">
        <v>262</v>
      </c>
      <c r="G132" s="8">
        <v>646916723</v>
      </c>
      <c r="H132" s="7">
        <v>2</v>
      </c>
      <c r="I132" s="7">
        <f t="shared" si="3"/>
        <v>5</v>
      </c>
    </row>
    <row r="133" spans="1:9">
      <c r="A133" s="39"/>
      <c r="B133" s="36" t="s">
        <v>141</v>
      </c>
      <c r="C133" s="7">
        <v>3</v>
      </c>
      <c r="D133" s="7" t="s">
        <v>9</v>
      </c>
      <c r="E133" s="8" t="s">
        <v>130</v>
      </c>
      <c r="F133" s="8">
        <v>639789428</v>
      </c>
      <c r="G133" s="8">
        <v>619177559</v>
      </c>
      <c r="H133" s="7">
        <v>2</v>
      </c>
      <c r="I133" s="7">
        <f t="shared" si="3"/>
        <v>3</v>
      </c>
    </row>
    <row r="134" spans="1:9">
      <c r="A134" s="39"/>
      <c r="B134" s="36" t="s">
        <v>367</v>
      </c>
      <c r="C134" s="7">
        <v>7</v>
      </c>
      <c r="D134" s="7" t="s">
        <v>9</v>
      </c>
      <c r="E134" s="8" t="s">
        <v>344</v>
      </c>
      <c r="F134" s="8" t="s">
        <v>365</v>
      </c>
      <c r="G134" s="8" t="s">
        <v>366</v>
      </c>
      <c r="H134" s="7">
        <v>2</v>
      </c>
      <c r="I134" s="7">
        <f t="shared" ref="I134:I165" si="4">IF(A134="",$C134,IF(A134="x","NO VA HOY",A134))</f>
        <v>7</v>
      </c>
    </row>
    <row r="135" spans="1:9">
      <c r="A135" s="39"/>
      <c r="B135" s="36" t="s">
        <v>392</v>
      </c>
      <c r="C135" s="7">
        <v>8</v>
      </c>
      <c r="D135" s="7" t="s">
        <v>9</v>
      </c>
      <c r="E135" s="8" t="s">
        <v>388</v>
      </c>
      <c r="F135" s="8" t="s">
        <v>393</v>
      </c>
      <c r="G135" s="8" t="s">
        <v>394</v>
      </c>
      <c r="H135" s="7">
        <v>2</v>
      </c>
      <c r="I135" s="7">
        <f t="shared" si="4"/>
        <v>8</v>
      </c>
    </row>
    <row r="136" spans="1:9">
      <c r="A136" s="39"/>
      <c r="B136" s="36" t="s">
        <v>267</v>
      </c>
      <c r="C136" s="7">
        <v>6</v>
      </c>
      <c r="D136" s="7" t="s">
        <v>142</v>
      </c>
      <c r="E136" s="8" t="s">
        <v>263</v>
      </c>
      <c r="F136" s="8" t="s">
        <v>268</v>
      </c>
      <c r="G136" s="8" t="s">
        <v>269</v>
      </c>
      <c r="H136" s="7">
        <v>2</v>
      </c>
      <c r="I136" s="7">
        <f t="shared" si="4"/>
        <v>6</v>
      </c>
    </row>
    <row r="137" spans="1:9">
      <c r="A137" s="39"/>
      <c r="B137" s="36" t="s">
        <v>374</v>
      </c>
      <c r="C137" s="7">
        <v>7</v>
      </c>
      <c r="D137" s="7" t="s">
        <v>142</v>
      </c>
      <c r="E137" s="8" t="s">
        <v>369</v>
      </c>
      <c r="F137" s="8" t="s">
        <v>375</v>
      </c>
      <c r="G137" s="8" t="s">
        <v>376</v>
      </c>
      <c r="H137" s="7">
        <v>2</v>
      </c>
      <c r="I137" s="7">
        <f t="shared" si="4"/>
        <v>7</v>
      </c>
    </row>
    <row r="138" spans="1:9">
      <c r="A138" s="39"/>
      <c r="B138" s="36" t="s">
        <v>337</v>
      </c>
      <c r="C138" s="7">
        <v>7</v>
      </c>
      <c r="D138" s="7" t="s">
        <v>142</v>
      </c>
      <c r="E138" s="8" t="s">
        <v>332</v>
      </c>
      <c r="F138" s="8">
        <v>629784634</v>
      </c>
      <c r="G138" s="8">
        <v>619017869</v>
      </c>
      <c r="H138" s="7">
        <v>2</v>
      </c>
      <c r="I138" s="7">
        <f t="shared" si="4"/>
        <v>7</v>
      </c>
    </row>
    <row r="139" spans="1:9">
      <c r="A139" s="39"/>
      <c r="B139" s="36" t="s">
        <v>143</v>
      </c>
      <c r="C139" s="7">
        <v>3</v>
      </c>
      <c r="D139" s="7" t="s">
        <v>142</v>
      </c>
      <c r="E139" s="8" t="s">
        <v>130</v>
      </c>
      <c r="F139" s="8">
        <v>650907237</v>
      </c>
      <c r="G139" s="8">
        <v>669387487</v>
      </c>
      <c r="H139" s="7">
        <v>2</v>
      </c>
      <c r="I139" s="7">
        <f t="shared" si="4"/>
        <v>3</v>
      </c>
    </row>
    <row r="140" spans="1:9">
      <c r="A140" s="39"/>
      <c r="B140" s="36" t="s">
        <v>341</v>
      </c>
      <c r="C140" s="7">
        <v>7</v>
      </c>
      <c r="D140" s="7" t="s">
        <v>142</v>
      </c>
      <c r="E140" s="8" t="s">
        <v>332</v>
      </c>
      <c r="F140" s="8" t="s">
        <v>339</v>
      </c>
      <c r="G140" s="8" t="s">
        <v>340</v>
      </c>
      <c r="H140" s="7">
        <v>2</v>
      </c>
      <c r="I140" s="7">
        <f t="shared" si="4"/>
        <v>7</v>
      </c>
    </row>
    <row r="141" spans="1:9">
      <c r="A141" s="39"/>
      <c r="B141" s="36" t="s">
        <v>180</v>
      </c>
      <c r="C141" s="7">
        <v>4</v>
      </c>
      <c r="D141" s="7" t="s">
        <v>142</v>
      </c>
      <c r="E141" s="8" t="s">
        <v>179</v>
      </c>
      <c r="F141" s="8" t="s">
        <v>181</v>
      </c>
      <c r="G141" s="8" t="s">
        <v>182</v>
      </c>
      <c r="H141" s="7">
        <v>2</v>
      </c>
      <c r="I141" s="7">
        <f t="shared" si="4"/>
        <v>4</v>
      </c>
    </row>
    <row r="142" spans="1:9">
      <c r="A142" s="39"/>
      <c r="B142" s="36" t="s">
        <v>78</v>
      </c>
      <c r="C142" s="7">
        <v>2</v>
      </c>
      <c r="D142" s="7" t="s">
        <v>77</v>
      </c>
      <c r="E142" s="8" t="s">
        <v>73</v>
      </c>
      <c r="F142" s="8" t="s">
        <v>75</v>
      </c>
      <c r="G142" s="8" t="s">
        <v>76</v>
      </c>
      <c r="H142" s="7">
        <v>2</v>
      </c>
      <c r="I142" s="7">
        <f t="shared" si="4"/>
        <v>2</v>
      </c>
    </row>
    <row r="143" spans="1:9">
      <c r="A143" s="39"/>
      <c r="B143" s="36" t="s">
        <v>201</v>
      </c>
      <c r="C143" s="7">
        <v>4</v>
      </c>
      <c r="D143" s="7" t="s">
        <v>77</v>
      </c>
      <c r="E143" s="8" t="s">
        <v>195</v>
      </c>
      <c r="F143" s="8" t="s">
        <v>199</v>
      </c>
      <c r="G143" s="8" t="s">
        <v>200</v>
      </c>
      <c r="H143" s="7">
        <v>2</v>
      </c>
      <c r="I143" s="7">
        <f t="shared" si="4"/>
        <v>4</v>
      </c>
    </row>
    <row r="144" spans="1:9">
      <c r="A144" s="39"/>
      <c r="B144" s="36" t="s">
        <v>216</v>
      </c>
      <c r="C144" s="7">
        <v>4</v>
      </c>
      <c r="D144" s="7" t="s">
        <v>77</v>
      </c>
      <c r="E144" s="8" t="s">
        <v>215</v>
      </c>
      <c r="F144" s="8" t="s">
        <v>217</v>
      </c>
      <c r="G144" s="33" t="s">
        <v>451</v>
      </c>
      <c r="H144" s="7">
        <v>2</v>
      </c>
      <c r="I144" s="7">
        <f t="shared" si="4"/>
        <v>4</v>
      </c>
    </row>
    <row r="145" spans="1:9">
      <c r="A145" s="39"/>
      <c r="B145" s="36" t="s">
        <v>396</v>
      </c>
      <c r="C145" s="7">
        <v>8</v>
      </c>
      <c r="D145" s="7" t="s">
        <v>77</v>
      </c>
      <c r="E145" s="8" t="s">
        <v>395</v>
      </c>
      <c r="F145" s="8" t="s">
        <v>397</v>
      </c>
      <c r="G145" s="8" t="s">
        <v>398</v>
      </c>
      <c r="H145" s="7">
        <v>2</v>
      </c>
      <c r="I145" s="7">
        <f t="shared" si="4"/>
        <v>8</v>
      </c>
    </row>
    <row r="146" spans="1:9">
      <c r="A146" s="39"/>
      <c r="B146" s="36" t="s">
        <v>291</v>
      </c>
      <c r="C146" s="7">
        <v>6</v>
      </c>
      <c r="D146" s="7" t="s">
        <v>77</v>
      </c>
      <c r="E146" s="8" t="s">
        <v>278</v>
      </c>
      <c r="F146" s="8" t="s">
        <v>289</v>
      </c>
      <c r="G146" s="8" t="s">
        <v>290</v>
      </c>
      <c r="H146" s="7">
        <v>2</v>
      </c>
      <c r="I146" s="7">
        <f t="shared" si="4"/>
        <v>6</v>
      </c>
    </row>
    <row r="147" spans="1:9">
      <c r="A147" s="39"/>
      <c r="B147" s="36" t="s">
        <v>140</v>
      </c>
      <c r="C147" s="7">
        <v>3</v>
      </c>
      <c r="D147" s="7" t="s">
        <v>77</v>
      </c>
      <c r="E147" s="8" t="s">
        <v>130</v>
      </c>
      <c r="F147" s="8" t="s">
        <v>138</v>
      </c>
      <c r="G147" s="8" t="s">
        <v>139</v>
      </c>
      <c r="H147" s="7">
        <v>2</v>
      </c>
      <c r="I147" s="7">
        <f t="shared" si="4"/>
        <v>3</v>
      </c>
    </row>
    <row r="148" spans="1:9">
      <c r="A148" s="39"/>
      <c r="B148" s="36" t="s">
        <v>360</v>
      </c>
      <c r="C148" s="7">
        <v>7</v>
      </c>
      <c r="D148" s="7" t="s">
        <v>77</v>
      </c>
      <c r="E148" s="8" t="s">
        <v>344</v>
      </c>
      <c r="F148" s="8">
        <v>639388533</v>
      </c>
      <c r="G148" s="8">
        <v>645403375</v>
      </c>
      <c r="H148" s="7">
        <v>2</v>
      </c>
      <c r="I148" s="7">
        <f t="shared" si="4"/>
        <v>7</v>
      </c>
    </row>
    <row r="149" spans="1:9">
      <c r="A149" s="39"/>
      <c r="B149" s="36" t="s">
        <v>93</v>
      </c>
      <c r="C149" s="7">
        <v>2</v>
      </c>
      <c r="D149" s="7" t="s">
        <v>77</v>
      </c>
      <c r="E149" s="8" t="s">
        <v>73</v>
      </c>
      <c r="F149" s="8" t="s">
        <v>94</v>
      </c>
      <c r="G149" s="8" t="s">
        <v>95</v>
      </c>
      <c r="H149" s="7">
        <v>2</v>
      </c>
      <c r="I149" s="7">
        <f t="shared" si="4"/>
        <v>2</v>
      </c>
    </row>
    <row r="150" spans="1:9">
      <c r="A150" s="39"/>
      <c r="B150" s="36" t="s">
        <v>154</v>
      </c>
      <c r="C150" s="7">
        <v>3</v>
      </c>
      <c r="D150" s="7" t="s">
        <v>77</v>
      </c>
      <c r="E150" s="8" t="s">
        <v>150</v>
      </c>
      <c r="F150" s="8">
        <v>651534710</v>
      </c>
      <c r="G150" s="8">
        <v>669134954</v>
      </c>
      <c r="H150" s="7">
        <v>2</v>
      </c>
      <c r="I150" s="7">
        <f t="shared" si="4"/>
        <v>3</v>
      </c>
    </row>
    <row r="151" spans="1:9">
      <c r="A151" s="39"/>
      <c r="B151" s="36" t="s">
        <v>275</v>
      </c>
      <c r="C151" s="7">
        <v>6</v>
      </c>
      <c r="D151" s="7" t="s">
        <v>77</v>
      </c>
      <c r="E151" s="8" t="s">
        <v>263</v>
      </c>
      <c r="F151" s="8" t="s">
        <v>273</v>
      </c>
      <c r="G151" s="8" t="s">
        <v>274</v>
      </c>
      <c r="H151" s="7">
        <v>2</v>
      </c>
      <c r="I151" s="7">
        <f t="shared" si="4"/>
        <v>6</v>
      </c>
    </row>
    <row r="152" spans="1:9">
      <c r="A152" s="39"/>
      <c r="B152" s="36" t="s">
        <v>144</v>
      </c>
      <c r="C152" s="7">
        <v>3</v>
      </c>
      <c r="D152" s="7" t="s">
        <v>77</v>
      </c>
      <c r="E152" s="8" t="s">
        <v>130</v>
      </c>
      <c r="F152" s="8" t="s">
        <v>145</v>
      </c>
      <c r="G152" s="33" t="s">
        <v>454</v>
      </c>
      <c r="H152" s="7">
        <v>2</v>
      </c>
      <c r="I152" s="7">
        <f t="shared" si="4"/>
        <v>3</v>
      </c>
    </row>
    <row r="153" spans="1:9">
      <c r="A153" s="39"/>
      <c r="B153" s="36" t="s">
        <v>279</v>
      </c>
      <c r="C153" s="7">
        <v>6</v>
      </c>
      <c r="D153" s="7" t="s">
        <v>47</v>
      </c>
      <c r="E153" s="8" t="s">
        <v>278</v>
      </c>
      <c r="F153" s="8" t="s">
        <v>280</v>
      </c>
      <c r="G153" s="8" t="s">
        <v>281</v>
      </c>
      <c r="H153" s="7">
        <v>2</v>
      </c>
      <c r="I153" s="7">
        <f t="shared" si="4"/>
        <v>6</v>
      </c>
    </row>
    <row r="154" spans="1:9">
      <c r="A154" s="39"/>
      <c r="B154" s="36" t="s">
        <v>48</v>
      </c>
      <c r="C154" s="7">
        <v>1</v>
      </c>
      <c r="D154" s="7" t="s">
        <v>47</v>
      </c>
      <c r="E154" s="8" t="s">
        <v>43</v>
      </c>
      <c r="F154" s="8" t="s">
        <v>45</v>
      </c>
      <c r="G154" s="8" t="s">
        <v>46</v>
      </c>
      <c r="H154" s="7">
        <v>2</v>
      </c>
      <c r="I154" s="7">
        <f t="shared" si="4"/>
        <v>1</v>
      </c>
    </row>
    <row r="155" spans="1:9">
      <c r="A155" s="39"/>
      <c r="B155" s="36" t="s">
        <v>323</v>
      </c>
      <c r="C155" s="7">
        <v>6</v>
      </c>
      <c r="D155" s="7" t="s">
        <v>47</v>
      </c>
      <c r="E155" s="8" t="s">
        <v>318</v>
      </c>
      <c r="F155" s="8" t="s">
        <v>320</v>
      </c>
      <c r="G155" s="8" t="s">
        <v>321</v>
      </c>
      <c r="H155" s="7">
        <v>2</v>
      </c>
      <c r="I155" s="7">
        <f t="shared" si="4"/>
        <v>6</v>
      </c>
    </row>
    <row r="156" spans="1:9">
      <c r="A156" s="39"/>
      <c r="B156" s="36" t="s">
        <v>151</v>
      </c>
      <c r="C156" s="7">
        <v>3</v>
      </c>
      <c r="D156" s="7" t="s">
        <v>47</v>
      </c>
      <c r="E156" s="8" t="s">
        <v>150</v>
      </c>
      <c r="F156" s="8" t="s">
        <v>152</v>
      </c>
      <c r="G156" s="8" t="s">
        <v>153</v>
      </c>
      <c r="H156" s="7">
        <v>2</v>
      </c>
      <c r="I156" s="7">
        <f t="shared" si="4"/>
        <v>3</v>
      </c>
    </row>
    <row r="157" spans="1:9">
      <c r="A157" s="39"/>
      <c r="B157" s="36" t="s">
        <v>307</v>
      </c>
      <c r="C157" s="7">
        <v>6</v>
      </c>
      <c r="D157" s="7" t="s">
        <v>47</v>
      </c>
      <c r="E157" s="8" t="s">
        <v>302</v>
      </c>
      <c r="F157" s="8" t="s">
        <v>308</v>
      </c>
      <c r="G157" s="8" t="s">
        <v>309</v>
      </c>
      <c r="H157" s="7">
        <v>2</v>
      </c>
      <c r="I157" s="7">
        <f t="shared" si="4"/>
        <v>6</v>
      </c>
    </row>
    <row r="158" spans="1:9">
      <c r="A158" s="39"/>
      <c r="B158" s="36" t="s">
        <v>296</v>
      </c>
      <c r="C158" s="7">
        <v>6</v>
      </c>
      <c r="D158" s="7" t="s">
        <v>47</v>
      </c>
      <c r="E158" s="8" t="s">
        <v>295</v>
      </c>
      <c r="F158" s="8">
        <v>649453295</v>
      </c>
      <c r="G158" s="8">
        <v>649967088</v>
      </c>
      <c r="H158" s="7">
        <v>2</v>
      </c>
      <c r="I158" s="7">
        <f t="shared" si="4"/>
        <v>6</v>
      </c>
    </row>
    <row r="159" spans="1:9">
      <c r="A159" s="39"/>
      <c r="B159" s="36" t="s">
        <v>422</v>
      </c>
      <c r="C159" s="7">
        <v>8</v>
      </c>
      <c r="D159" s="7" t="s">
        <v>47</v>
      </c>
      <c r="E159" s="8" t="s">
        <v>418</v>
      </c>
      <c r="F159" s="8" t="s">
        <v>420</v>
      </c>
      <c r="G159" s="8" t="s">
        <v>421</v>
      </c>
      <c r="H159" s="7">
        <v>2</v>
      </c>
      <c r="I159" s="7">
        <f t="shared" si="4"/>
        <v>8</v>
      </c>
    </row>
    <row r="160" spans="1:9">
      <c r="A160" s="39"/>
      <c r="B160" s="36" t="s">
        <v>224</v>
      </c>
      <c r="C160" s="7">
        <v>4</v>
      </c>
      <c r="D160" s="7" t="s">
        <v>47</v>
      </c>
      <c r="E160" s="8" t="s">
        <v>215</v>
      </c>
      <c r="F160" s="8">
        <v>686263627</v>
      </c>
      <c r="G160" s="8" t="s">
        <v>225</v>
      </c>
      <c r="H160" s="7">
        <v>2</v>
      </c>
      <c r="I160" s="7">
        <f t="shared" si="4"/>
        <v>4</v>
      </c>
    </row>
    <row r="161" spans="1:9">
      <c r="A161" s="39"/>
      <c r="B161" s="36" t="s">
        <v>163</v>
      </c>
      <c r="C161" s="7">
        <v>3</v>
      </c>
      <c r="D161" s="7" t="s">
        <v>47</v>
      </c>
      <c r="E161" s="8" t="s">
        <v>155</v>
      </c>
      <c r="F161" s="8" t="s">
        <v>164</v>
      </c>
      <c r="G161" s="8" t="s">
        <v>165</v>
      </c>
      <c r="H161" s="7">
        <v>2</v>
      </c>
      <c r="I161" s="7">
        <f t="shared" si="4"/>
        <v>3</v>
      </c>
    </row>
    <row r="162" spans="1:9">
      <c r="A162" s="39"/>
      <c r="B162" s="36" t="s">
        <v>408</v>
      </c>
      <c r="C162" s="7">
        <v>8</v>
      </c>
      <c r="D162" s="7" t="s">
        <v>47</v>
      </c>
      <c r="E162" s="8" t="s">
        <v>395</v>
      </c>
      <c r="F162" s="8" t="s">
        <v>406</v>
      </c>
      <c r="G162" s="8" t="s">
        <v>407</v>
      </c>
      <c r="H162" s="7">
        <v>2</v>
      </c>
      <c r="I162" s="7">
        <f t="shared" si="4"/>
        <v>8</v>
      </c>
    </row>
    <row r="163" spans="1:9">
      <c r="A163" s="39"/>
      <c r="B163" s="36" t="s">
        <v>234</v>
      </c>
      <c r="C163" s="7">
        <v>5</v>
      </c>
      <c r="D163" s="7" t="s">
        <v>47</v>
      </c>
      <c r="E163" s="8" t="s">
        <v>226</v>
      </c>
      <c r="F163" s="8">
        <v>629685985</v>
      </c>
      <c r="G163" s="8">
        <v>637468207</v>
      </c>
      <c r="H163" s="7">
        <v>2</v>
      </c>
      <c r="I163" s="7">
        <f t="shared" si="4"/>
        <v>5</v>
      </c>
    </row>
    <row r="164" spans="1:9">
      <c r="A164" s="39"/>
      <c r="B164" s="36" t="s">
        <v>285</v>
      </c>
      <c r="C164" s="7">
        <v>6</v>
      </c>
      <c r="D164" s="7" t="s">
        <v>31</v>
      </c>
      <c r="E164" s="8" t="s">
        <v>278</v>
      </c>
      <c r="F164" s="8" t="s">
        <v>283</v>
      </c>
      <c r="G164" s="8" t="s">
        <v>284</v>
      </c>
      <c r="H164" s="7">
        <v>2</v>
      </c>
      <c r="I164" s="7">
        <f t="shared" si="4"/>
        <v>6</v>
      </c>
    </row>
    <row r="165" spans="1:9">
      <c r="A165" s="39"/>
      <c r="B165" s="36" t="s">
        <v>203</v>
      </c>
      <c r="C165" s="7">
        <v>4</v>
      </c>
      <c r="D165" s="7" t="s">
        <v>31</v>
      </c>
      <c r="E165" s="8" t="s">
        <v>195</v>
      </c>
      <c r="F165" s="8" t="s">
        <v>204</v>
      </c>
      <c r="G165" s="8" t="s">
        <v>205</v>
      </c>
      <c r="H165" s="7">
        <v>2</v>
      </c>
      <c r="I165" s="7">
        <f t="shared" si="4"/>
        <v>4</v>
      </c>
    </row>
    <row r="166" spans="1:9">
      <c r="A166" s="39"/>
      <c r="B166" s="36" t="s">
        <v>292</v>
      </c>
      <c r="C166" s="7">
        <v>6</v>
      </c>
      <c r="D166" s="7" t="s">
        <v>31</v>
      </c>
      <c r="E166" s="8" t="s">
        <v>278</v>
      </c>
      <c r="F166" s="8" t="s">
        <v>293</v>
      </c>
      <c r="G166" s="8" t="s">
        <v>294</v>
      </c>
      <c r="H166" s="7">
        <v>2</v>
      </c>
      <c r="I166" s="7">
        <f t="shared" ref="I166:I188" si="5">IF(A166="",$C166,IF(A166="x","NO VA HOY",A166))</f>
        <v>6</v>
      </c>
    </row>
    <row r="167" spans="1:9">
      <c r="A167" s="39"/>
      <c r="B167" s="36" t="s">
        <v>40</v>
      </c>
      <c r="C167" s="7">
        <v>1</v>
      </c>
      <c r="D167" s="7" t="s">
        <v>31</v>
      </c>
      <c r="E167" s="8" t="s">
        <v>36</v>
      </c>
      <c r="F167" s="8" t="s">
        <v>41</v>
      </c>
      <c r="G167" s="8" t="s">
        <v>42</v>
      </c>
      <c r="H167" s="7">
        <v>2</v>
      </c>
      <c r="I167" s="7">
        <f t="shared" si="5"/>
        <v>1</v>
      </c>
    </row>
    <row r="168" spans="1:9">
      <c r="A168" s="39"/>
      <c r="B168" s="36" t="s">
        <v>32</v>
      </c>
      <c r="C168" s="7">
        <v>1</v>
      </c>
      <c r="D168" s="7" t="s">
        <v>31</v>
      </c>
      <c r="E168" s="8" t="s">
        <v>20</v>
      </c>
      <c r="F168" s="8" t="s">
        <v>33</v>
      </c>
      <c r="G168" s="8" t="s">
        <v>34</v>
      </c>
      <c r="H168" s="7">
        <v>2</v>
      </c>
      <c r="I168" s="7">
        <f t="shared" si="5"/>
        <v>1</v>
      </c>
    </row>
    <row r="169" spans="1:9">
      <c r="A169" s="39"/>
      <c r="B169" s="36" t="s">
        <v>167</v>
      </c>
      <c r="C169" s="7">
        <v>3</v>
      </c>
      <c r="D169" s="7" t="s">
        <v>63</v>
      </c>
      <c r="E169" s="8" t="s">
        <v>166</v>
      </c>
      <c r="F169" s="8" t="s">
        <v>168</v>
      </c>
      <c r="G169" s="8" t="s">
        <v>169</v>
      </c>
      <c r="H169" s="7">
        <v>2</v>
      </c>
      <c r="I169" s="7">
        <f t="shared" si="5"/>
        <v>3</v>
      </c>
    </row>
    <row r="170" spans="1:9">
      <c r="A170" s="39"/>
      <c r="B170" s="36" t="s">
        <v>319</v>
      </c>
      <c r="C170" s="7">
        <v>6</v>
      </c>
      <c r="D170" s="7" t="s">
        <v>63</v>
      </c>
      <c r="E170" s="8" t="s">
        <v>318</v>
      </c>
      <c r="F170" s="8" t="s">
        <v>320</v>
      </c>
      <c r="G170" s="8" t="s">
        <v>321</v>
      </c>
      <c r="H170" s="7">
        <v>2</v>
      </c>
      <c r="I170" s="7">
        <f t="shared" si="5"/>
        <v>6</v>
      </c>
    </row>
    <row r="171" spans="1:9">
      <c r="A171" s="39"/>
      <c r="B171" s="36" t="s">
        <v>227</v>
      </c>
      <c r="C171" s="7">
        <v>5</v>
      </c>
      <c r="D171" s="7" t="s">
        <v>63</v>
      </c>
      <c r="E171" s="8" t="s">
        <v>226</v>
      </c>
      <c r="F171" s="8" t="s">
        <v>228</v>
      </c>
      <c r="G171" s="8" t="s">
        <v>229</v>
      </c>
      <c r="H171" s="7">
        <v>2</v>
      </c>
      <c r="I171" s="7">
        <f t="shared" si="5"/>
        <v>5</v>
      </c>
    </row>
    <row r="172" spans="1:9">
      <c r="A172" s="39"/>
      <c r="B172" s="36" t="s">
        <v>312</v>
      </c>
      <c r="C172" s="7">
        <v>6</v>
      </c>
      <c r="D172" s="7" t="s">
        <v>63</v>
      </c>
      <c r="E172" s="8" t="s">
        <v>302</v>
      </c>
      <c r="F172" s="8" t="s">
        <v>313</v>
      </c>
      <c r="G172" s="8" t="s">
        <v>314</v>
      </c>
      <c r="H172" s="7">
        <v>2</v>
      </c>
      <c r="I172" s="7">
        <f t="shared" si="5"/>
        <v>6</v>
      </c>
    </row>
    <row r="173" spans="1:9">
      <c r="A173" s="39"/>
      <c r="B173" s="36" t="s">
        <v>147</v>
      </c>
      <c r="C173" s="7">
        <v>3</v>
      </c>
      <c r="D173" s="7" t="s">
        <v>63</v>
      </c>
      <c r="E173" s="8" t="s">
        <v>146</v>
      </c>
      <c r="F173" s="8" t="s">
        <v>148</v>
      </c>
      <c r="G173" s="8" t="s">
        <v>149</v>
      </c>
      <c r="H173" s="7">
        <v>2</v>
      </c>
      <c r="I173" s="7">
        <f t="shared" si="5"/>
        <v>3</v>
      </c>
    </row>
    <row r="174" spans="1:9">
      <c r="A174" s="39"/>
      <c r="B174" s="36" t="s">
        <v>64</v>
      </c>
      <c r="C174" s="7">
        <v>1</v>
      </c>
      <c r="D174" s="7" t="s">
        <v>63</v>
      </c>
      <c r="E174" s="8" t="s">
        <v>57</v>
      </c>
      <c r="F174" s="8" t="s">
        <v>61</v>
      </c>
      <c r="G174" s="8" t="s">
        <v>62</v>
      </c>
      <c r="H174" s="7">
        <v>2</v>
      </c>
      <c r="I174" s="7">
        <f t="shared" si="5"/>
        <v>1</v>
      </c>
    </row>
    <row r="175" spans="1:9">
      <c r="A175" s="39"/>
      <c r="B175" s="36" t="s">
        <v>354</v>
      </c>
      <c r="C175" s="7">
        <v>7</v>
      </c>
      <c r="D175" s="7" t="s">
        <v>63</v>
      </c>
      <c r="E175" s="8" t="s">
        <v>344</v>
      </c>
      <c r="F175" s="8" t="s">
        <v>355</v>
      </c>
      <c r="G175" s="8" t="s">
        <v>356</v>
      </c>
      <c r="H175" s="7">
        <v>2</v>
      </c>
      <c r="I175" s="7">
        <f t="shared" si="5"/>
        <v>7</v>
      </c>
    </row>
    <row r="176" spans="1:9">
      <c r="A176" s="39"/>
      <c r="B176" s="36" t="s">
        <v>333</v>
      </c>
      <c r="C176" s="7">
        <v>7</v>
      </c>
      <c r="D176" s="7" t="s">
        <v>63</v>
      </c>
      <c r="E176" s="8" t="s">
        <v>332</v>
      </c>
      <c r="F176" s="8" t="s">
        <v>334</v>
      </c>
      <c r="G176" s="8" t="s">
        <v>335</v>
      </c>
      <c r="H176" s="7">
        <v>2</v>
      </c>
      <c r="I176" s="7">
        <f t="shared" si="5"/>
        <v>7</v>
      </c>
    </row>
    <row r="177" spans="1:9">
      <c r="A177" s="39"/>
      <c r="B177" s="36" t="s">
        <v>310</v>
      </c>
      <c r="C177" s="7">
        <v>6</v>
      </c>
      <c r="D177" s="7" t="s">
        <v>35</v>
      </c>
      <c r="E177" s="8" t="s">
        <v>302</v>
      </c>
      <c r="F177" s="8" t="s">
        <v>308</v>
      </c>
      <c r="G177" s="8" t="s">
        <v>309</v>
      </c>
      <c r="H177" s="7">
        <v>2</v>
      </c>
      <c r="I177" s="7">
        <f t="shared" si="5"/>
        <v>6</v>
      </c>
    </row>
    <row r="178" spans="1:9">
      <c r="A178" s="39"/>
      <c r="B178" s="36" t="s">
        <v>411</v>
      </c>
      <c r="C178" s="7">
        <v>8</v>
      </c>
      <c r="D178" s="7" t="s">
        <v>35</v>
      </c>
      <c r="E178" s="8" t="s">
        <v>410</v>
      </c>
      <c r="F178" s="8" t="s">
        <v>412</v>
      </c>
      <c r="G178" s="8" t="s">
        <v>413</v>
      </c>
      <c r="H178" s="7">
        <v>2</v>
      </c>
      <c r="I178" s="7">
        <f t="shared" si="5"/>
        <v>8</v>
      </c>
    </row>
    <row r="179" spans="1:9">
      <c r="A179" s="39"/>
      <c r="B179" s="36" t="s">
        <v>60</v>
      </c>
      <c r="C179" s="7">
        <v>1</v>
      </c>
      <c r="D179" s="7" t="s">
        <v>35</v>
      </c>
      <c r="E179" s="8" t="s">
        <v>57</v>
      </c>
      <c r="F179" s="8" t="s">
        <v>61</v>
      </c>
      <c r="G179" s="8" t="s">
        <v>62</v>
      </c>
      <c r="H179" s="7">
        <v>2</v>
      </c>
      <c r="I179" s="7">
        <f t="shared" si="5"/>
        <v>1</v>
      </c>
    </row>
    <row r="180" spans="1:9">
      <c r="A180" s="39"/>
      <c r="B180" s="36" t="s">
        <v>65</v>
      </c>
      <c r="C180" s="7">
        <v>1</v>
      </c>
      <c r="D180" s="7" t="s">
        <v>35</v>
      </c>
      <c r="E180" s="8" t="s">
        <v>57</v>
      </c>
      <c r="F180" s="8">
        <v>610744047</v>
      </c>
      <c r="G180" s="8">
        <v>625320304</v>
      </c>
      <c r="H180" s="7">
        <v>2</v>
      </c>
      <c r="I180" s="7">
        <f t="shared" si="5"/>
        <v>1</v>
      </c>
    </row>
    <row r="181" spans="1:9">
      <c r="A181" s="39"/>
      <c r="B181" s="36" t="s">
        <v>286</v>
      </c>
      <c r="C181" s="7">
        <v>6</v>
      </c>
      <c r="D181" s="7" t="s">
        <v>35</v>
      </c>
      <c r="E181" s="8" t="s">
        <v>278</v>
      </c>
      <c r="F181" s="8" t="s">
        <v>287</v>
      </c>
      <c r="G181" s="8" t="s">
        <v>287</v>
      </c>
      <c r="H181" s="7">
        <v>2</v>
      </c>
      <c r="I181" s="7">
        <f t="shared" si="5"/>
        <v>6</v>
      </c>
    </row>
    <row r="182" spans="1:9">
      <c r="A182" s="39"/>
      <c r="B182" s="36" t="s">
        <v>37</v>
      </c>
      <c r="C182" s="7">
        <v>1</v>
      </c>
      <c r="D182" s="7" t="s">
        <v>35</v>
      </c>
      <c r="E182" s="8" t="s">
        <v>36</v>
      </c>
      <c r="F182" s="8" t="s">
        <v>38</v>
      </c>
      <c r="G182" s="8" t="s">
        <v>39</v>
      </c>
      <c r="H182" s="7">
        <v>2</v>
      </c>
      <c r="I182" s="7">
        <f t="shared" si="5"/>
        <v>1</v>
      </c>
    </row>
    <row r="183" spans="1:9">
      <c r="A183" s="39"/>
      <c r="B183" s="36" t="s">
        <v>404</v>
      </c>
      <c r="C183" s="7">
        <v>8</v>
      </c>
      <c r="D183" s="7" t="s">
        <v>35</v>
      </c>
      <c r="E183" s="8" t="s">
        <v>395</v>
      </c>
      <c r="F183" s="8">
        <v>955722152</v>
      </c>
      <c r="G183" s="8">
        <v>669213132</v>
      </c>
      <c r="H183" s="7">
        <v>2</v>
      </c>
      <c r="I183" s="7">
        <f t="shared" si="5"/>
        <v>8</v>
      </c>
    </row>
    <row r="184" spans="1:9">
      <c r="A184" s="39"/>
      <c r="B184" s="36" t="s">
        <v>324</v>
      </c>
      <c r="C184" s="7">
        <v>6</v>
      </c>
      <c r="D184" s="7" t="s">
        <v>29</v>
      </c>
      <c r="E184" s="8" t="s">
        <v>318</v>
      </c>
      <c r="F184" s="8" t="s">
        <v>320</v>
      </c>
      <c r="G184" s="8" t="s">
        <v>321</v>
      </c>
      <c r="H184" s="7">
        <v>2</v>
      </c>
      <c r="I184" s="7">
        <f t="shared" si="5"/>
        <v>6</v>
      </c>
    </row>
    <row r="185" spans="1:9">
      <c r="A185" s="39"/>
      <c r="B185" s="36" t="s">
        <v>282</v>
      </c>
      <c r="C185" s="7">
        <v>6</v>
      </c>
      <c r="D185" s="7" t="s">
        <v>29</v>
      </c>
      <c r="E185" s="8" t="s">
        <v>278</v>
      </c>
      <c r="F185" s="8" t="s">
        <v>283</v>
      </c>
      <c r="G185" s="8" t="s">
        <v>284</v>
      </c>
      <c r="H185" s="7">
        <v>2</v>
      </c>
      <c r="I185" s="7">
        <f t="shared" si="5"/>
        <v>6</v>
      </c>
    </row>
    <row r="186" spans="1:9">
      <c r="A186" s="39"/>
      <c r="B186" s="36" t="s">
        <v>30</v>
      </c>
      <c r="C186" s="7">
        <v>1</v>
      </c>
      <c r="D186" s="7" t="s">
        <v>29</v>
      </c>
      <c r="E186" s="8" t="s">
        <v>20</v>
      </c>
      <c r="F186" s="8" t="s">
        <v>27</v>
      </c>
      <c r="G186" s="8" t="s">
        <v>28</v>
      </c>
      <c r="H186" s="7">
        <v>2</v>
      </c>
      <c r="I186" s="7">
        <f t="shared" si="5"/>
        <v>1</v>
      </c>
    </row>
    <row r="187" spans="1:9">
      <c r="A187" s="39"/>
      <c r="B187" s="36" t="s">
        <v>315</v>
      </c>
      <c r="C187" s="7">
        <v>6</v>
      </c>
      <c r="D187" s="7" t="s">
        <v>29</v>
      </c>
      <c r="E187" s="8" t="s">
        <v>302</v>
      </c>
      <c r="F187" s="8">
        <v>608556880</v>
      </c>
      <c r="G187" s="8">
        <v>600544499</v>
      </c>
      <c r="H187" s="7">
        <v>2</v>
      </c>
      <c r="I187" s="7">
        <f t="shared" si="5"/>
        <v>6</v>
      </c>
    </row>
    <row r="188" spans="1:9" ht="13.5" thickBot="1">
      <c r="A188" s="39"/>
      <c r="B188" s="37" t="s">
        <v>235</v>
      </c>
      <c r="C188" s="9">
        <v>5</v>
      </c>
      <c r="D188" s="9" t="s">
        <v>29</v>
      </c>
      <c r="E188" s="10" t="s">
        <v>226</v>
      </c>
      <c r="F188" s="10">
        <v>629685985</v>
      </c>
      <c r="G188" s="10">
        <v>637468207</v>
      </c>
      <c r="H188" s="9">
        <v>2</v>
      </c>
      <c r="I188" s="9">
        <f t="shared" si="5"/>
        <v>5</v>
      </c>
    </row>
  </sheetData>
  <autoFilter ref="A5:I190">
    <sortState ref="A6:I190">
      <sortCondition ref="D5:D190"/>
    </sortState>
  </autoFilter>
  <sortState ref="C7:I190">
    <sortCondition ref="C7:C190"/>
  </sortState>
  <mergeCells count="3">
    <mergeCell ref="F1:F3"/>
    <mergeCell ref="A2:B2"/>
    <mergeCell ref="D1:E3"/>
  </mergeCells>
  <phoneticPr fontId="0" type="noConversion"/>
  <conditionalFormatting sqref="A6:I6">
    <cfRule type="expression" dxfId="1097" priority="549">
      <formula>($A$6&lt;&gt;$C$6)*($A$6&lt;&gt;"")</formula>
    </cfRule>
    <cfRule type="expression" dxfId="1096" priority="548">
      <formula>$A$6="x"</formula>
    </cfRule>
    <cfRule type="expression" dxfId="1095" priority="547">
      <formula>($A$6&lt;&gt;"")*($C$6=0)</formula>
    </cfRule>
  </conditionalFormatting>
  <conditionalFormatting sqref="A7:I7">
    <cfRule type="expression" dxfId="1094" priority="546">
      <formula>($A$7&lt;&gt;$C$7)*($A$7&lt;&gt;"")</formula>
    </cfRule>
    <cfRule type="expression" dxfId="1093" priority="545">
      <formula>$A$7="x"</formula>
    </cfRule>
    <cfRule type="expression" dxfId="1092" priority="544">
      <formula>($A$7&lt;&gt;"")*($C$7=0)</formula>
    </cfRule>
  </conditionalFormatting>
  <conditionalFormatting sqref="A8:I8">
    <cfRule type="expression" dxfId="1091" priority="543">
      <formula>($A$8&lt;&gt;$C$8)*($A$8&lt;&gt;"")</formula>
    </cfRule>
    <cfRule type="expression" dxfId="1090" priority="542">
      <formula>$A$8="x"</formula>
    </cfRule>
    <cfRule type="expression" dxfId="1089" priority="541">
      <formula>($A$8&lt;&gt;"")*($C$8=0)</formula>
    </cfRule>
  </conditionalFormatting>
  <conditionalFormatting sqref="A9:I9">
    <cfRule type="expression" dxfId="1088" priority="540">
      <formula>($A$9&lt;&gt;$C$9)*($A$9&lt;&gt;"")</formula>
    </cfRule>
    <cfRule type="expression" dxfId="1087" priority="539">
      <formula>$A$9="x"</formula>
    </cfRule>
    <cfRule type="expression" dxfId="1086" priority="538">
      <formula>($A$9&lt;&gt;"")*($C$9=0)</formula>
    </cfRule>
  </conditionalFormatting>
  <conditionalFormatting sqref="A10:I10">
    <cfRule type="expression" dxfId="1085" priority="537">
      <formula>($A$10&lt;&gt;$C$10)*($A$10&lt;&gt;"")</formula>
    </cfRule>
    <cfRule type="expression" dxfId="1084" priority="536">
      <formula>$A$10="x"</formula>
    </cfRule>
    <cfRule type="expression" dxfId="1083" priority="535">
      <formula>($A$10&lt;&gt;"")*($C$10=0)</formula>
    </cfRule>
  </conditionalFormatting>
  <conditionalFormatting sqref="A11:I11">
    <cfRule type="expression" dxfId="1082" priority="534">
      <formula>($A$11&lt;&gt;$C$11)*($A$11&lt;&gt;"")</formula>
    </cfRule>
    <cfRule type="expression" dxfId="1081" priority="533">
      <formula>$A$11="x"</formula>
    </cfRule>
    <cfRule type="expression" dxfId="1080" priority="532">
      <formula>($A$11&lt;&gt;"")*($C$11=0)</formula>
    </cfRule>
  </conditionalFormatting>
  <conditionalFormatting sqref="A12:I12">
    <cfRule type="expression" dxfId="1079" priority="531">
      <formula>($A$12&lt;&gt;$C$12)*($A$12&lt;&gt;"")</formula>
    </cfRule>
    <cfRule type="expression" dxfId="1078" priority="530">
      <formula>$A$12="x"</formula>
    </cfRule>
    <cfRule type="expression" dxfId="1077" priority="529">
      <formula>($A$12&lt;&gt;"")*($C$12=0)</formula>
    </cfRule>
  </conditionalFormatting>
  <conditionalFormatting sqref="A13:I13">
    <cfRule type="expression" dxfId="1076" priority="528">
      <formula>($A$13&lt;&gt;$C$13)*($A$13&lt;&gt;"")</formula>
    </cfRule>
    <cfRule type="expression" dxfId="1075" priority="527">
      <formula>$A$13="x"</formula>
    </cfRule>
    <cfRule type="expression" dxfId="1074" priority="526">
      <formula>($A$13&lt;&gt;"")*($C$13=0)</formula>
    </cfRule>
  </conditionalFormatting>
  <conditionalFormatting sqref="A14:I14">
    <cfRule type="expression" dxfId="1073" priority="525">
      <formula>($A$14&lt;&gt;$C$14)*($A$14&lt;&gt;"")</formula>
    </cfRule>
    <cfRule type="expression" dxfId="1072" priority="524">
      <formula>$A$14="x"</formula>
    </cfRule>
    <cfRule type="expression" dxfId="1071" priority="523">
      <formula>($A$14&lt;&gt;"")*($C$14=0)</formula>
    </cfRule>
  </conditionalFormatting>
  <conditionalFormatting sqref="A15:I15">
    <cfRule type="expression" dxfId="1070" priority="522">
      <formula>($A$15&lt;&gt;$C$15)*($A$15&lt;&gt;"")</formula>
    </cfRule>
    <cfRule type="expression" dxfId="1069" priority="521">
      <formula>$A$15="x"</formula>
    </cfRule>
    <cfRule type="expression" dxfId="1068" priority="520">
      <formula>($A$15&lt;&gt;"")*($C$15=0)</formula>
    </cfRule>
  </conditionalFormatting>
  <conditionalFormatting sqref="A16:I16">
    <cfRule type="expression" dxfId="1067" priority="519">
      <formula>($A$16&lt;&gt;$C$16)*($A$16&lt;&gt;"")</formula>
    </cfRule>
    <cfRule type="expression" dxfId="1066" priority="518">
      <formula>$A$16="x"</formula>
    </cfRule>
    <cfRule type="expression" dxfId="1065" priority="517">
      <formula>($A$16&lt;&gt;"")*($C$16=0)</formula>
    </cfRule>
  </conditionalFormatting>
  <conditionalFormatting sqref="A17:I17">
    <cfRule type="expression" dxfId="1064" priority="516">
      <formula>($A$17&lt;&gt;$C$17)*($A$17&lt;&gt;"")</formula>
    </cfRule>
    <cfRule type="expression" dxfId="1063" priority="515">
      <formula>$A$17="x"</formula>
    </cfRule>
    <cfRule type="expression" dxfId="1062" priority="514">
      <formula>($A$17&lt;&gt;"")*($C$17=0)</formula>
    </cfRule>
  </conditionalFormatting>
  <conditionalFormatting sqref="A18:I18">
    <cfRule type="expression" dxfId="1061" priority="513">
      <formula>($A$18&lt;&gt;$C$18)*($A$18&lt;&gt;"")</formula>
    </cfRule>
    <cfRule type="expression" dxfId="1060" priority="512">
      <formula>$A$18="x"</formula>
    </cfRule>
    <cfRule type="expression" dxfId="1059" priority="511">
      <formula>($A$18&lt;&gt;"")*($C$18=0)</formula>
    </cfRule>
  </conditionalFormatting>
  <conditionalFormatting sqref="A19:I19">
    <cfRule type="expression" dxfId="1058" priority="510">
      <formula>($A$19&lt;&gt;$C$19)*($A$19&lt;&gt;"")</formula>
    </cfRule>
    <cfRule type="expression" dxfId="1057" priority="509">
      <formula>$A$19="x"</formula>
    </cfRule>
    <cfRule type="expression" dxfId="1056" priority="508">
      <formula>($A$19&lt;&gt;"")*($C$19=0)</formula>
    </cfRule>
  </conditionalFormatting>
  <conditionalFormatting sqref="A20:I20">
    <cfRule type="expression" dxfId="1055" priority="507">
      <formula>($A$20&lt;&gt;$C$20)*($A$20&lt;&gt;"")</formula>
    </cfRule>
    <cfRule type="expression" dxfId="1054" priority="506">
      <formula>$A$20="x"</formula>
    </cfRule>
    <cfRule type="expression" dxfId="1053" priority="505">
      <formula>($A$20&lt;&gt;"")*($C$20=0)</formula>
    </cfRule>
  </conditionalFormatting>
  <conditionalFormatting sqref="A21:I21">
    <cfRule type="expression" dxfId="1052" priority="504">
      <formula>($A$21&lt;&gt;$C$21)*($A$21&lt;&gt;"")</formula>
    </cfRule>
    <cfRule type="expression" dxfId="1051" priority="503">
      <formula>$A$21="x"</formula>
    </cfRule>
    <cfRule type="expression" dxfId="1050" priority="502">
      <formula>($A$21&lt;&gt;"")*($C$21=0)</formula>
    </cfRule>
  </conditionalFormatting>
  <conditionalFormatting sqref="A22:I22">
    <cfRule type="expression" dxfId="1049" priority="501">
      <formula>($A$22&lt;&gt;$C$22)*($A$22&lt;&gt;"")</formula>
    </cfRule>
    <cfRule type="expression" dxfId="1048" priority="500">
      <formula>$A$22="x"</formula>
    </cfRule>
    <cfRule type="expression" dxfId="1047" priority="499">
      <formula>($A$22&lt;&gt;"")*($C$22=0)</formula>
    </cfRule>
  </conditionalFormatting>
  <conditionalFormatting sqref="A23:I23">
    <cfRule type="expression" dxfId="1046" priority="498">
      <formula>($A$23&lt;&gt;$C$23)*($A$23&lt;&gt;"")</formula>
    </cfRule>
    <cfRule type="expression" dxfId="1045" priority="497">
      <formula>$A$23="x"</formula>
    </cfRule>
    <cfRule type="expression" dxfId="1044" priority="496">
      <formula>($A$23&lt;&gt;"")*($C$23=0)</formula>
    </cfRule>
  </conditionalFormatting>
  <conditionalFormatting sqref="A24:I24">
    <cfRule type="expression" dxfId="1043" priority="495">
      <formula>($A$24&lt;&gt;$C$24)*($A$24&lt;&gt;"")</formula>
    </cfRule>
    <cfRule type="expression" dxfId="1042" priority="494">
      <formula>$A$24="x"</formula>
    </cfRule>
    <cfRule type="expression" dxfId="1041" priority="493">
      <formula>($A$24&lt;&gt;"")*($C$24=0)</formula>
    </cfRule>
  </conditionalFormatting>
  <conditionalFormatting sqref="A25:I25">
    <cfRule type="expression" dxfId="1040" priority="492">
      <formula>($A$25&lt;&gt;$C$25)*($A$25&lt;&gt;"")</formula>
    </cfRule>
    <cfRule type="expression" dxfId="1039" priority="491">
      <formula>$A$25="x"</formula>
    </cfRule>
    <cfRule type="expression" dxfId="1038" priority="490">
      <formula>($A$25&lt;&gt;"")*($C$25=0)</formula>
    </cfRule>
  </conditionalFormatting>
  <conditionalFormatting sqref="A26:I26">
    <cfRule type="expression" dxfId="1037" priority="489">
      <formula>($A$26&lt;&gt;$C$26)*($A$26&lt;&gt;"")</formula>
    </cfRule>
    <cfRule type="expression" dxfId="1036" priority="488">
      <formula>$A$26="x"</formula>
    </cfRule>
    <cfRule type="expression" dxfId="1035" priority="487">
      <formula>($A$26&lt;&gt;"")*($C$26=0)</formula>
    </cfRule>
  </conditionalFormatting>
  <conditionalFormatting sqref="A27:I27">
    <cfRule type="expression" dxfId="1034" priority="486">
      <formula>($A$27&lt;&gt;$C$27)*($A$27&lt;&gt;"")</formula>
    </cfRule>
    <cfRule type="expression" dxfId="1033" priority="485">
      <formula>$A$27="x"</formula>
    </cfRule>
    <cfRule type="expression" dxfId="1032" priority="484">
      <formula>($A$27&lt;&gt;"")*($C$27=0)</formula>
    </cfRule>
  </conditionalFormatting>
  <conditionalFormatting sqref="A28:I28">
    <cfRule type="expression" dxfId="1031" priority="483">
      <formula>($A$28&lt;&gt;$C$28)*($A$28&lt;&gt;"")</formula>
    </cfRule>
    <cfRule type="expression" dxfId="1030" priority="482">
      <formula>$A$28="x"</formula>
    </cfRule>
    <cfRule type="expression" dxfId="1029" priority="481">
      <formula>($A$28&lt;&gt;"")*($C$28=0)</formula>
    </cfRule>
  </conditionalFormatting>
  <conditionalFormatting sqref="A29:I29">
    <cfRule type="expression" dxfId="1028" priority="480">
      <formula>($A$29&lt;&gt;$C$29)*($A$29&lt;&gt;"")</formula>
    </cfRule>
    <cfRule type="expression" dxfId="1027" priority="479">
      <formula>$A$29="x"</formula>
    </cfRule>
    <cfRule type="expression" dxfId="1026" priority="478">
      <formula>($A$29&lt;&gt;"")*($C$29=0)</formula>
    </cfRule>
  </conditionalFormatting>
  <conditionalFormatting sqref="A30:I30">
    <cfRule type="expression" dxfId="1025" priority="477">
      <formula>($A$30&lt;&gt;$C$30)*($A$30&lt;&gt;"")</formula>
    </cfRule>
    <cfRule type="expression" dxfId="1024" priority="476">
      <formula>$A$30="x"</formula>
    </cfRule>
    <cfRule type="expression" dxfId="1023" priority="475">
      <formula>($A$30&lt;&gt;"")*($C$30=0)</formula>
    </cfRule>
  </conditionalFormatting>
  <conditionalFormatting sqref="A31:I31">
    <cfRule type="expression" dxfId="1022" priority="474">
      <formula>($A$31&lt;&gt;$C$31)*($A$31&lt;&gt;"")</formula>
    </cfRule>
    <cfRule type="expression" dxfId="1021" priority="473">
      <formula>$A$31="x"</formula>
    </cfRule>
    <cfRule type="expression" dxfId="1020" priority="472">
      <formula>($A$31&lt;&gt;"")*($C$31=0)</formula>
    </cfRule>
  </conditionalFormatting>
  <conditionalFormatting sqref="A32:I32">
    <cfRule type="expression" dxfId="1019" priority="471">
      <formula>($A$32&lt;&gt;$C$32)*($A$32&lt;&gt;"")</formula>
    </cfRule>
    <cfRule type="expression" dxfId="1018" priority="470">
      <formula>$A$32="x"</formula>
    </cfRule>
    <cfRule type="expression" dxfId="1017" priority="469">
      <formula>($A$32&lt;&gt;"")*($C$32=0)</formula>
    </cfRule>
  </conditionalFormatting>
  <conditionalFormatting sqref="A33:I33">
    <cfRule type="expression" dxfId="1016" priority="468">
      <formula>($A$33&lt;&gt;$C$33)*($A$33&lt;&gt;"")</formula>
    </cfRule>
    <cfRule type="expression" dxfId="1015" priority="467">
      <formula>$A$33="x"</formula>
    </cfRule>
    <cfRule type="expression" dxfId="1014" priority="466">
      <formula>($A$33&lt;&gt;"")*($C$33=0)</formula>
    </cfRule>
  </conditionalFormatting>
  <conditionalFormatting sqref="A34:I34">
    <cfRule type="expression" dxfId="1013" priority="465">
      <formula>($A$34&lt;&gt;$C$34)*($A$34&lt;&gt;"")</formula>
    </cfRule>
    <cfRule type="expression" dxfId="1012" priority="464">
      <formula>$A$34="x"</formula>
    </cfRule>
    <cfRule type="expression" dxfId="1011" priority="463">
      <formula>($A$34&lt;&gt;"")*($C$34=0)</formula>
    </cfRule>
  </conditionalFormatting>
  <conditionalFormatting sqref="A35:I35">
    <cfRule type="expression" dxfId="1010" priority="462">
      <formula>($A$35&lt;&gt;$C$35)*($A$35&lt;&gt;"")</formula>
    </cfRule>
    <cfRule type="expression" dxfId="1009" priority="461">
      <formula>$A$35="x"</formula>
    </cfRule>
    <cfRule type="expression" dxfId="1008" priority="460">
      <formula>($A$35&lt;&gt;"")*($C$35=0)</formula>
    </cfRule>
  </conditionalFormatting>
  <conditionalFormatting sqref="A36:I36">
    <cfRule type="expression" dxfId="1007" priority="459">
      <formula>($A$36&lt;&gt;$C$36)*($A$36&lt;&gt;"")</formula>
    </cfRule>
    <cfRule type="expression" dxfId="1006" priority="458">
      <formula>$A$36="x"</formula>
    </cfRule>
    <cfRule type="expression" dxfId="1005" priority="457">
      <formula>($A$36&lt;&gt;"")*($C$36=0)</formula>
    </cfRule>
  </conditionalFormatting>
  <conditionalFormatting sqref="A37:I37">
    <cfRule type="expression" dxfId="1004" priority="456">
      <formula>($A$37&lt;&gt;$C$37)*($A$37&lt;&gt;"")</formula>
    </cfRule>
    <cfRule type="expression" dxfId="1003" priority="455">
      <formula>$A$37="x"</formula>
    </cfRule>
    <cfRule type="expression" dxfId="1002" priority="454">
      <formula>($A$37&lt;&gt;"")*($C$37=0)</formula>
    </cfRule>
  </conditionalFormatting>
  <conditionalFormatting sqref="A38:I38">
    <cfRule type="expression" dxfId="1001" priority="453">
      <formula>($A$38&lt;&gt;$C$38)*($A$38&lt;&gt;"")</formula>
    </cfRule>
    <cfRule type="expression" dxfId="1000" priority="452">
      <formula>$A$38="x"</formula>
    </cfRule>
    <cfRule type="expression" dxfId="999" priority="451">
      <formula>($A$38&lt;&gt;"")*($C$38=0)</formula>
    </cfRule>
  </conditionalFormatting>
  <conditionalFormatting sqref="A39:I39">
    <cfRule type="expression" dxfId="998" priority="450">
      <formula>($A$39&lt;&gt;$C$39)*($A$39&lt;&gt;"")</formula>
    </cfRule>
    <cfRule type="expression" dxfId="997" priority="449">
      <formula>$A$39="x"</formula>
    </cfRule>
    <cfRule type="expression" dxfId="996" priority="448">
      <formula>($A$39&lt;&gt;"")*($C$39=0)</formula>
    </cfRule>
  </conditionalFormatting>
  <conditionalFormatting sqref="A40:I40">
    <cfRule type="expression" dxfId="995" priority="447">
      <formula>($A$40&lt;&gt;$C$40)*($A$40&lt;&gt;"")</formula>
    </cfRule>
    <cfRule type="expression" dxfId="994" priority="446">
      <formula>$A$40="x"</formula>
    </cfRule>
    <cfRule type="expression" dxfId="993" priority="445">
      <formula>($A$40&lt;&gt;"")*($C$40=0)</formula>
    </cfRule>
  </conditionalFormatting>
  <conditionalFormatting sqref="A41:I41">
    <cfRule type="expression" dxfId="992" priority="444">
      <formula>($A$41&lt;&gt;$C$41)*($A$41&lt;&gt;"")</formula>
    </cfRule>
    <cfRule type="expression" dxfId="991" priority="443">
      <formula>$A$41="x"</formula>
    </cfRule>
    <cfRule type="expression" dxfId="990" priority="442">
      <formula>($A$41&lt;&gt;"")*($C$41=0)</formula>
    </cfRule>
  </conditionalFormatting>
  <conditionalFormatting sqref="A42:I42">
    <cfRule type="expression" dxfId="989" priority="441">
      <formula>($A$42&lt;&gt;$C$42)*($A$42&lt;&gt;"")</formula>
    </cfRule>
    <cfRule type="expression" dxfId="988" priority="440">
      <formula>$A$42="x"</formula>
    </cfRule>
    <cfRule type="expression" dxfId="987" priority="439">
      <formula>($A$42&lt;&gt;"")*($C$42=0)</formula>
    </cfRule>
  </conditionalFormatting>
  <conditionalFormatting sqref="A43:I43">
    <cfRule type="expression" dxfId="986" priority="438">
      <formula>($A$43&lt;&gt;$C$43)*($A$43&lt;&gt;"")</formula>
    </cfRule>
    <cfRule type="expression" dxfId="985" priority="437">
      <formula>$A$43="x"</formula>
    </cfRule>
    <cfRule type="expression" dxfId="984" priority="436">
      <formula>($A$43&lt;&gt;"")*($C$43=0)</formula>
    </cfRule>
  </conditionalFormatting>
  <conditionalFormatting sqref="A44:I44">
    <cfRule type="expression" dxfId="983" priority="435">
      <formula>($A$44&lt;&gt;$C$44)*($A$44&lt;&gt;"")</formula>
    </cfRule>
    <cfRule type="expression" dxfId="982" priority="434">
      <formula>$A$44="x"</formula>
    </cfRule>
    <cfRule type="expression" dxfId="981" priority="433">
      <formula>($A$44&lt;&gt;"")*($C$44=0)</formula>
    </cfRule>
  </conditionalFormatting>
  <conditionalFormatting sqref="A45:I45">
    <cfRule type="expression" dxfId="980" priority="432">
      <formula>($A$45&lt;&gt;$C$45)*($A$45&lt;&gt;"")</formula>
    </cfRule>
    <cfRule type="expression" dxfId="979" priority="431">
      <formula>$A$45="x"</formula>
    </cfRule>
    <cfRule type="expression" dxfId="978" priority="430">
      <formula>($A$45&lt;&gt;"")*($C$45=0)</formula>
    </cfRule>
  </conditionalFormatting>
  <conditionalFormatting sqref="A46:I46">
    <cfRule type="expression" dxfId="977" priority="429">
      <formula>($A$46&lt;&gt;$C$46)*($A$46&lt;&gt;"")</formula>
    </cfRule>
    <cfRule type="expression" dxfId="976" priority="428">
      <formula>$A$46="x"</formula>
    </cfRule>
    <cfRule type="expression" dxfId="975" priority="427">
      <formula>($A$46&lt;&gt;"")*($C$46=0)</formula>
    </cfRule>
  </conditionalFormatting>
  <conditionalFormatting sqref="A47:I47">
    <cfRule type="expression" dxfId="974" priority="426">
      <formula>($A$47&lt;&gt;$C$47)*($A$47&lt;&gt;"")</formula>
    </cfRule>
    <cfRule type="expression" dxfId="973" priority="425">
      <formula>$A$47="x"</formula>
    </cfRule>
    <cfRule type="expression" dxfId="972" priority="424">
      <formula>($A$47&lt;&gt;"")*($C$47=0)</formula>
    </cfRule>
  </conditionalFormatting>
  <conditionalFormatting sqref="A48:I48">
    <cfRule type="expression" dxfId="971" priority="423">
      <formula>($A$48&lt;&gt;$C$48)*($A$48&lt;&gt;"")</formula>
    </cfRule>
    <cfRule type="expression" dxfId="970" priority="422">
      <formula>$A$48="x"</formula>
    </cfRule>
    <cfRule type="expression" dxfId="969" priority="421">
      <formula>($A$48&lt;&gt;"")*($C$48=0)</formula>
    </cfRule>
  </conditionalFormatting>
  <conditionalFormatting sqref="A49:I49">
    <cfRule type="expression" dxfId="968" priority="420">
      <formula>($A$49&lt;&gt;$C$49)*($A$49&lt;&gt;"")</formula>
    </cfRule>
    <cfRule type="expression" dxfId="967" priority="419">
      <formula>$A$49="x"</formula>
    </cfRule>
    <cfRule type="expression" dxfId="966" priority="418">
      <formula>($A$49&lt;&gt;"")*($C$49=0)</formula>
    </cfRule>
  </conditionalFormatting>
  <conditionalFormatting sqref="A50:I50">
    <cfRule type="expression" dxfId="965" priority="417">
      <formula>($A$50&lt;&gt;$C$50)*($A$50&lt;&gt;"")</formula>
    </cfRule>
    <cfRule type="expression" dxfId="964" priority="416">
      <formula>$A$50="x"</formula>
    </cfRule>
    <cfRule type="expression" dxfId="963" priority="415">
      <formula>($A$50&lt;&gt;"")*($C$50=0)</formula>
    </cfRule>
  </conditionalFormatting>
  <conditionalFormatting sqref="A51:I51">
    <cfRule type="expression" dxfId="962" priority="414">
      <formula>($A$51&lt;&gt;$C$51)*($A$51&lt;&gt;"")</formula>
    </cfRule>
    <cfRule type="expression" dxfId="961" priority="413">
      <formula>$A$51="x"</formula>
    </cfRule>
    <cfRule type="expression" dxfId="960" priority="412">
      <formula>($A$51&lt;&gt;"")*($C$51=0)</formula>
    </cfRule>
  </conditionalFormatting>
  <conditionalFormatting sqref="A52:I52">
    <cfRule type="expression" dxfId="959" priority="411">
      <formula>($A$52&lt;&gt;$C$52)*($A$52&lt;&gt;"")</formula>
    </cfRule>
    <cfRule type="expression" dxfId="958" priority="410">
      <formula>$A$52="x"</formula>
    </cfRule>
    <cfRule type="expression" dxfId="957" priority="409">
      <formula>($A$52&lt;&gt;"")*($C$52=0)</formula>
    </cfRule>
  </conditionalFormatting>
  <conditionalFormatting sqref="A53:I53">
    <cfRule type="expression" dxfId="956" priority="408">
      <formula>($A$53&lt;&gt;$C$53)*($A$53&lt;&gt;"")</formula>
    </cfRule>
    <cfRule type="expression" dxfId="955" priority="407">
      <formula>$A$53="x"</formula>
    </cfRule>
    <cfRule type="expression" dxfId="954" priority="406">
      <formula>($A$53&lt;&gt;"")*($C$53=0)</formula>
    </cfRule>
  </conditionalFormatting>
  <conditionalFormatting sqref="A54:I54">
    <cfRule type="expression" dxfId="953" priority="405">
      <formula>($A$54&lt;&gt;$C$54)*($A$54&lt;&gt;"")</formula>
    </cfRule>
    <cfRule type="expression" dxfId="952" priority="404">
      <formula>$A$54="x"</formula>
    </cfRule>
    <cfRule type="expression" dxfId="951" priority="403">
      <formula>($A$54&lt;&gt;"")*($C$54=0)</formula>
    </cfRule>
  </conditionalFormatting>
  <conditionalFormatting sqref="A55:I55">
    <cfRule type="expression" dxfId="950" priority="402">
      <formula>($A$55&lt;&gt;$C$55)*($A$55&lt;&gt;"")</formula>
    </cfRule>
    <cfRule type="expression" dxfId="949" priority="401">
      <formula>$A$55="x"</formula>
    </cfRule>
    <cfRule type="expression" dxfId="948" priority="400">
      <formula>($A$55&lt;&gt;"")*($C$55=0)</formula>
    </cfRule>
  </conditionalFormatting>
  <conditionalFormatting sqref="A56:I56">
    <cfRule type="expression" dxfId="947" priority="399">
      <formula>($A$56&lt;&gt;$C$56)*($A$56&lt;&gt;"")</formula>
    </cfRule>
    <cfRule type="expression" dxfId="946" priority="398">
      <formula>$A$56="x"</formula>
    </cfRule>
    <cfRule type="expression" dxfId="945" priority="397">
      <formula>($A$56&lt;&gt;"")*($C$56=0)</formula>
    </cfRule>
  </conditionalFormatting>
  <conditionalFormatting sqref="A57:I57">
    <cfRule type="expression" dxfId="944" priority="396">
      <formula>($A$57&lt;&gt;$C$57)*($A$57&lt;&gt;"")</formula>
    </cfRule>
    <cfRule type="expression" dxfId="943" priority="395">
      <formula>$A$57="x"</formula>
    </cfRule>
    <cfRule type="expression" dxfId="942" priority="394">
      <formula>($A$57&lt;&gt;"")*($C$57=0)</formula>
    </cfRule>
  </conditionalFormatting>
  <conditionalFormatting sqref="A58:I58">
    <cfRule type="expression" dxfId="941" priority="393">
      <formula>($A$58&lt;&gt;$C$58)*($A$58&lt;&gt;"")</formula>
    </cfRule>
    <cfRule type="expression" dxfId="940" priority="392">
      <formula>$A$58="x"</formula>
    </cfRule>
    <cfRule type="expression" dxfId="939" priority="391">
      <formula>($A$58&lt;&gt;"")*($C$58=0)</formula>
    </cfRule>
  </conditionalFormatting>
  <conditionalFormatting sqref="A59:I59">
    <cfRule type="expression" dxfId="938" priority="390">
      <formula>($A$59&lt;&gt;$C$59)*($A$59&lt;&gt;"")</formula>
    </cfRule>
    <cfRule type="expression" dxfId="937" priority="389">
      <formula>$A$59="x"</formula>
    </cfRule>
    <cfRule type="expression" dxfId="936" priority="388">
      <formula>($A$59&lt;&gt;"")*($C$59=0)</formula>
    </cfRule>
  </conditionalFormatting>
  <conditionalFormatting sqref="A60:I60">
    <cfRule type="expression" dxfId="935" priority="387">
      <formula>($A$60&lt;&gt;$C$60)*($A$60&lt;&gt;"")</formula>
    </cfRule>
    <cfRule type="expression" dxfId="934" priority="386">
      <formula>$A$60="x"</formula>
    </cfRule>
    <cfRule type="expression" dxfId="933" priority="385">
      <formula>($A$60&lt;&gt;"")*($C$60=0)</formula>
    </cfRule>
  </conditionalFormatting>
  <conditionalFormatting sqref="A61:I61">
    <cfRule type="expression" dxfId="932" priority="384">
      <formula>($A$61&lt;&gt;$C$61)*($A$61&lt;&gt;"")</formula>
    </cfRule>
    <cfRule type="expression" dxfId="931" priority="383">
      <formula>$A$61="x"</formula>
    </cfRule>
    <cfRule type="expression" dxfId="930" priority="382">
      <formula>($A$61&lt;&gt;"")*($C$61=0)</formula>
    </cfRule>
  </conditionalFormatting>
  <conditionalFormatting sqref="A62:I62">
    <cfRule type="expression" dxfId="929" priority="381">
      <formula>($A$62&lt;&gt;$C$62)*($A$62&lt;&gt;"")</formula>
    </cfRule>
    <cfRule type="expression" dxfId="928" priority="380">
      <formula>$A$62="x"</formula>
    </cfRule>
    <cfRule type="expression" dxfId="927" priority="379">
      <formula>($A$62&lt;&gt;"")*($C$62=0)</formula>
    </cfRule>
  </conditionalFormatting>
  <conditionalFormatting sqref="A63:I63">
    <cfRule type="expression" dxfId="926" priority="378">
      <formula>($A$63&lt;&gt;$C$63)*($A$63&lt;&gt;"")</formula>
    </cfRule>
    <cfRule type="expression" dxfId="925" priority="377">
      <formula>$A$63="x"</formula>
    </cfRule>
    <cfRule type="expression" dxfId="924" priority="376">
      <formula>($A$63&lt;&gt;"")*($C$63=0)</formula>
    </cfRule>
  </conditionalFormatting>
  <conditionalFormatting sqref="A64:I64">
    <cfRule type="expression" dxfId="923" priority="375">
      <formula>($A$64&lt;&gt;$C$64)*($A$64&lt;&gt;"")</formula>
    </cfRule>
    <cfRule type="expression" dxfId="922" priority="374">
      <formula>$A$64="x"</formula>
    </cfRule>
    <cfRule type="expression" dxfId="921" priority="373">
      <formula>($A$64&lt;&gt;"")*($C$64=0)</formula>
    </cfRule>
  </conditionalFormatting>
  <conditionalFormatting sqref="A65:I65">
    <cfRule type="expression" dxfId="920" priority="372">
      <formula>($A$65&lt;&gt;$C$65)*($A$65&lt;&gt;"")</formula>
    </cfRule>
    <cfRule type="expression" dxfId="919" priority="371">
      <formula>$A$65="x"</formula>
    </cfRule>
    <cfRule type="expression" dxfId="918" priority="370">
      <formula>($A$65&lt;&gt;"")*($C$65=0)</formula>
    </cfRule>
  </conditionalFormatting>
  <conditionalFormatting sqref="A66:I66">
    <cfRule type="expression" dxfId="917" priority="369">
      <formula>($A$66&lt;&gt;$C$66)*($A$66&lt;&gt;"")</formula>
    </cfRule>
    <cfRule type="expression" dxfId="916" priority="368">
      <formula>$A$66="x"</formula>
    </cfRule>
    <cfRule type="expression" dxfId="915" priority="367">
      <formula>($A$66&lt;&gt;"")*($C$66=0)</formula>
    </cfRule>
  </conditionalFormatting>
  <conditionalFormatting sqref="A67:I67">
    <cfRule type="expression" dxfId="914" priority="366">
      <formula>($A$67&lt;&gt;$C$67)*($A$67&lt;&gt;"")</formula>
    </cfRule>
    <cfRule type="expression" dxfId="913" priority="365">
      <formula>$A$67="x"</formula>
    </cfRule>
    <cfRule type="expression" dxfId="912" priority="364">
      <formula>($A$67&lt;&gt;"")*($C$67=0)</formula>
    </cfRule>
  </conditionalFormatting>
  <conditionalFormatting sqref="A68:I68">
    <cfRule type="expression" dxfId="911" priority="363">
      <formula>($A$68&lt;&gt;$C$68)*($A$68&lt;&gt;"")</formula>
    </cfRule>
    <cfRule type="expression" dxfId="910" priority="362">
      <formula>$A$68="x"</formula>
    </cfRule>
    <cfRule type="expression" dxfId="909" priority="361">
      <formula>($A$68&lt;&gt;"")*($C$68=0)</formula>
    </cfRule>
  </conditionalFormatting>
  <conditionalFormatting sqref="A69:I69">
    <cfRule type="expression" dxfId="908" priority="360">
      <formula>($A$69&lt;&gt;$C$69)*($A$69&lt;&gt;"")</formula>
    </cfRule>
    <cfRule type="expression" dxfId="907" priority="359">
      <formula>$A$69="x"</formula>
    </cfRule>
    <cfRule type="expression" dxfId="906" priority="358">
      <formula>($A$69&lt;&gt;"")*($C$69=0)</formula>
    </cfRule>
  </conditionalFormatting>
  <conditionalFormatting sqref="A70:I70">
    <cfRule type="expression" dxfId="905" priority="357">
      <formula>($A$70&lt;&gt;$C$70)*($A$70&lt;&gt;"")</formula>
    </cfRule>
    <cfRule type="expression" dxfId="904" priority="356">
      <formula>$A$70="x"</formula>
    </cfRule>
    <cfRule type="expression" dxfId="903" priority="355">
      <formula>($A$70&lt;&gt;"")*($C$70=0)</formula>
    </cfRule>
  </conditionalFormatting>
  <conditionalFormatting sqref="A71:I71">
    <cfRule type="expression" dxfId="902" priority="354">
      <formula>($A$71&lt;&gt;$C$71)*($A$71&lt;&gt;"")</formula>
    </cfRule>
    <cfRule type="expression" dxfId="901" priority="353">
      <formula>$A$71="x"</formula>
    </cfRule>
    <cfRule type="expression" dxfId="900" priority="352">
      <formula>($A$71&lt;&gt;"")*($C$71=0)</formula>
    </cfRule>
  </conditionalFormatting>
  <conditionalFormatting sqref="A72:I72">
    <cfRule type="expression" dxfId="899" priority="351">
      <formula>($A$72&lt;&gt;$C$72)*($A$72&lt;&gt;"")</formula>
    </cfRule>
    <cfRule type="expression" dxfId="898" priority="350">
      <formula>$A$72="x"</formula>
    </cfRule>
    <cfRule type="expression" dxfId="897" priority="349">
      <formula>($A$72&lt;&gt;"")*($C$72=0)</formula>
    </cfRule>
  </conditionalFormatting>
  <conditionalFormatting sqref="A73:I73">
    <cfRule type="expression" dxfId="896" priority="348">
      <formula>($A$73&lt;&gt;$C$73)*($A$73&lt;&gt;"")</formula>
    </cfRule>
    <cfRule type="expression" dxfId="895" priority="347">
      <formula>$A$73="x"</formula>
    </cfRule>
    <cfRule type="expression" dxfId="894" priority="346">
      <formula>($A$73&lt;&gt;"")*($C$73=0)</formula>
    </cfRule>
  </conditionalFormatting>
  <conditionalFormatting sqref="A74:I74">
    <cfRule type="expression" dxfId="893" priority="345">
      <formula>($A$74&lt;&gt;$C$74)*($A$74&lt;&gt;"")</formula>
    </cfRule>
    <cfRule type="expression" dxfId="892" priority="344">
      <formula>$A$74="x"</formula>
    </cfRule>
    <cfRule type="expression" dxfId="891" priority="343">
      <formula>($A$74&lt;&gt;"")*($C$74=0)</formula>
    </cfRule>
  </conditionalFormatting>
  <conditionalFormatting sqref="A75:I75">
    <cfRule type="expression" dxfId="890" priority="342">
      <formula>($A$75&lt;&gt;$C$75)*($A$75&lt;&gt;"")</formula>
    </cfRule>
    <cfRule type="expression" dxfId="889" priority="341">
      <formula>$A$75="x"</formula>
    </cfRule>
    <cfRule type="expression" dxfId="888" priority="340">
      <formula>($A$75&lt;&gt;"")*($C$75=0)</formula>
    </cfRule>
  </conditionalFormatting>
  <conditionalFormatting sqref="A76:I76">
    <cfRule type="expression" dxfId="887" priority="339">
      <formula>($A$76&lt;&gt;$C$76)*($A$76&lt;&gt;"")</formula>
    </cfRule>
    <cfRule type="expression" dxfId="886" priority="338">
      <formula>$A$76="x"</formula>
    </cfRule>
    <cfRule type="expression" dxfId="885" priority="337">
      <formula>($A$76&lt;&gt;"")*($C$76=0)</formula>
    </cfRule>
  </conditionalFormatting>
  <conditionalFormatting sqref="A77:I77">
    <cfRule type="expression" dxfId="884" priority="336">
      <formula>($A$77&lt;&gt;$C$77)*($A$77&lt;&gt;"")</formula>
    </cfRule>
    <cfRule type="expression" dxfId="883" priority="335">
      <formula>$A$77="x"</formula>
    </cfRule>
    <cfRule type="expression" dxfId="882" priority="334">
      <formula>($A$77&lt;&gt;"")*($C$77=0)</formula>
    </cfRule>
  </conditionalFormatting>
  <conditionalFormatting sqref="A78:I78">
    <cfRule type="expression" dxfId="881" priority="333">
      <formula>($A$78&lt;&gt;$C$78)*($A$78&lt;&gt;"")</formula>
    </cfRule>
    <cfRule type="expression" dxfId="880" priority="332">
      <formula>$A$78="x"</formula>
    </cfRule>
    <cfRule type="expression" dxfId="879" priority="331">
      <formula>($A$78&lt;&gt;"")*($C$78=0)</formula>
    </cfRule>
  </conditionalFormatting>
  <conditionalFormatting sqref="A79:I79">
    <cfRule type="expression" dxfId="878" priority="330">
      <formula>($A$79&lt;&gt;$C$79)*($A$79&lt;&gt;"")</formula>
    </cfRule>
    <cfRule type="expression" dxfId="877" priority="329">
      <formula>$A$79="x"</formula>
    </cfRule>
    <cfRule type="expression" dxfId="876" priority="328">
      <formula>($A$79&lt;&gt;"")*($C$79=0)</formula>
    </cfRule>
  </conditionalFormatting>
  <conditionalFormatting sqref="A80:I80">
    <cfRule type="expression" dxfId="875" priority="327">
      <formula>($A$80&lt;&gt;$C$80)*($A$80&lt;&gt;"")</formula>
    </cfRule>
    <cfRule type="expression" dxfId="874" priority="326">
      <formula>$A$80="x"</formula>
    </cfRule>
    <cfRule type="expression" dxfId="873" priority="325">
      <formula>($A$80&lt;&gt;"")*($C$80=0)</formula>
    </cfRule>
  </conditionalFormatting>
  <conditionalFormatting sqref="A81:I81">
    <cfRule type="expression" dxfId="872" priority="324">
      <formula>($A$81&lt;&gt;$C$81)*($A$81&lt;&gt;"")</formula>
    </cfRule>
    <cfRule type="expression" dxfId="871" priority="323">
      <formula>$A$81="x"</formula>
    </cfRule>
    <cfRule type="expression" dxfId="870" priority="322">
      <formula>($A$81&lt;&gt;"")*($C$81=0)</formula>
    </cfRule>
  </conditionalFormatting>
  <conditionalFormatting sqref="A82:I82">
    <cfRule type="expression" dxfId="869" priority="321">
      <formula>($A$82&lt;&gt;$C$82)*($A$82&lt;&gt;"")</formula>
    </cfRule>
    <cfRule type="expression" dxfId="868" priority="320">
      <formula>$A$82="x"</formula>
    </cfRule>
    <cfRule type="expression" dxfId="867" priority="319">
      <formula>($A$82&lt;&gt;"")*($C$82=0)</formula>
    </cfRule>
  </conditionalFormatting>
  <conditionalFormatting sqref="A83:I83">
    <cfRule type="expression" dxfId="866" priority="318">
      <formula>($A$83&lt;&gt;$C$83)*($A$83&lt;&gt;"")</formula>
    </cfRule>
    <cfRule type="expression" dxfId="865" priority="317">
      <formula>$A$83="x"</formula>
    </cfRule>
    <cfRule type="expression" dxfId="864" priority="316">
      <formula>($A$83&lt;&gt;"")*($C$83=0)</formula>
    </cfRule>
  </conditionalFormatting>
  <conditionalFormatting sqref="A84:I84">
    <cfRule type="expression" dxfId="863" priority="315">
      <formula>($A$84&lt;&gt;$C$84)*($A$84&lt;&gt;"")</formula>
    </cfRule>
    <cfRule type="expression" dxfId="862" priority="314">
      <formula>$A$84="x"</formula>
    </cfRule>
    <cfRule type="expression" dxfId="861" priority="313">
      <formula>($A$84&lt;&gt;"")*($C$84=0)</formula>
    </cfRule>
  </conditionalFormatting>
  <conditionalFormatting sqref="A85:I85">
    <cfRule type="expression" dxfId="860" priority="312">
      <formula>($A$85&lt;&gt;$C$85)*($A$85&lt;&gt;"")</formula>
    </cfRule>
    <cfRule type="expression" dxfId="859" priority="311">
      <formula>$A$85="x"</formula>
    </cfRule>
    <cfRule type="expression" dxfId="858" priority="310">
      <formula>($A$85&lt;&gt;"")*($C$85=0)</formula>
    </cfRule>
  </conditionalFormatting>
  <conditionalFormatting sqref="A86:I86">
    <cfRule type="expression" dxfId="857" priority="309">
      <formula>($A$86&lt;&gt;$C$86)*($A$86&lt;&gt;"")</formula>
    </cfRule>
    <cfRule type="expression" dxfId="856" priority="308">
      <formula>$A$86="x"</formula>
    </cfRule>
    <cfRule type="expression" dxfId="855" priority="307">
      <formula>($A$86&lt;&gt;"")*($C$86=0)</formula>
    </cfRule>
  </conditionalFormatting>
  <conditionalFormatting sqref="A87:I87">
    <cfRule type="expression" dxfId="854" priority="306">
      <formula>($A$87&lt;&gt;$C$87)*($A$87&lt;&gt;"")</formula>
    </cfRule>
    <cfRule type="expression" dxfId="853" priority="305">
      <formula>$A$87="x"</formula>
    </cfRule>
    <cfRule type="expression" dxfId="852" priority="304">
      <formula>($A$87&lt;&gt;"")*($C$87=0)</formula>
    </cfRule>
  </conditionalFormatting>
  <conditionalFormatting sqref="A88:I88">
    <cfRule type="expression" dxfId="851" priority="303">
      <formula>($A$88&lt;&gt;$C$88)*($A$88&lt;&gt;"")</formula>
    </cfRule>
    <cfRule type="expression" dxfId="850" priority="302">
      <formula>$A$88="x"</formula>
    </cfRule>
    <cfRule type="expression" dxfId="849" priority="301">
      <formula>($A$88&lt;&gt;"")*($C$88=0)</formula>
    </cfRule>
  </conditionalFormatting>
  <conditionalFormatting sqref="A89:I89">
    <cfRule type="expression" dxfId="848" priority="300">
      <formula>($A$89&lt;&gt;$C$89)*($A$89&lt;&gt;"")</formula>
    </cfRule>
    <cfRule type="expression" dxfId="847" priority="299">
      <formula>$A$89="x"</formula>
    </cfRule>
    <cfRule type="expression" dxfId="846" priority="298">
      <formula>($A$89&lt;&gt;"")*($C$89=0)</formula>
    </cfRule>
  </conditionalFormatting>
  <conditionalFormatting sqref="A90:I90">
    <cfRule type="expression" dxfId="845" priority="297">
      <formula>($A$90&lt;&gt;$C$90)*($A$90&lt;&gt;"")</formula>
    </cfRule>
    <cfRule type="expression" dxfId="844" priority="296">
      <formula>$A$90="x"</formula>
    </cfRule>
    <cfRule type="expression" dxfId="843" priority="295">
      <formula>($A$90&lt;&gt;"")*($C$90=0)</formula>
    </cfRule>
  </conditionalFormatting>
  <conditionalFormatting sqref="A91:I91">
    <cfRule type="expression" dxfId="842" priority="294">
      <formula>($A$91&lt;&gt;$C$91)*($A$91&lt;&gt;"")</formula>
    </cfRule>
    <cfRule type="expression" dxfId="841" priority="293">
      <formula>$A$91="x"</formula>
    </cfRule>
    <cfRule type="expression" dxfId="840" priority="292">
      <formula>($A$91&lt;&gt;"")*($C$91=0)</formula>
    </cfRule>
  </conditionalFormatting>
  <conditionalFormatting sqref="A92:I92">
    <cfRule type="expression" dxfId="839" priority="291">
      <formula>($A$92&lt;&gt;$C$92)*($A$92&lt;&gt;"")</formula>
    </cfRule>
    <cfRule type="expression" dxfId="838" priority="290">
      <formula>$A$92="x"</formula>
    </cfRule>
    <cfRule type="expression" dxfId="837" priority="289">
      <formula>($A$92&lt;&gt;"")*($C$92=0)</formula>
    </cfRule>
  </conditionalFormatting>
  <conditionalFormatting sqref="A93:I93">
    <cfRule type="expression" dxfId="836" priority="288">
      <formula>($A$93&lt;&gt;$C$93)*($A$93&lt;&gt;"")</formula>
    </cfRule>
    <cfRule type="expression" dxfId="835" priority="287">
      <formula>$A$93="x"</formula>
    </cfRule>
    <cfRule type="expression" dxfId="834" priority="286">
      <formula>($A$93&lt;&gt;"")*($C$93=0)</formula>
    </cfRule>
  </conditionalFormatting>
  <conditionalFormatting sqref="A94:I94">
    <cfRule type="expression" dxfId="833" priority="285">
      <formula>($A$94&lt;&gt;$C$94)*($A$94&lt;&gt;"")</formula>
    </cfRule>
    <cfRule type="expression" dxfId="832" priority="284">
      <formula>$A$94="x"</formula>
    </cfRule>
    <cfRule type="expression" dxfId="831" priority="283">
      <formula>($A$94&lt;&gt;"")*($C$94=0)</formula>
    </cfRule>
  </conditionalFormatting>
  <conditionalFormatting sqref="A95:I95">
    <cfRule type="expression" dxfId="830" priority="282">
      <formula>($A$95&lt;&gt;$C$95)*($A$95&lt;&gt;"")</formula>
    </cfRule>
    <cfRule type="expression" dxfId="829" priority="281">
      <formula>$A$95="x"</formula>
    </cfRule>
    <cfRule type="expression" dxfId="828" priority="280">
      <formula>($A$95&lt;&gt;"")*($C$95=0)</formula>
    </cfRule>
  </conditionalFormatting>
  <conditionalFormatting sqref="A96:I96">
    <cfRule type="expression" dxfId="827" priority="279">
      <formula>($A$96&lt;&gt;$C$96)*($A$96&lt;&gt;"")</formula>
    </cfRule>
    <cfRule type="expression" dxfId="826" priority="278">
      <formula>$A$96="x"</formula>
    </cfRule>
    <cfRule type="expression" dxfId="825" priority="277">
      <formula>($A$96&lt;&gt;"")*($C$96=0)</formula>
    </cfRule>
  </conditionalFormatting>
  <conditionalFormatting sqref="A97:I97">
    <cfRule type="expression" dxfId="824" priority="276">
      <formula>($A$97&lt;&gt;$C$97)*($A$97&lt;&gt;"")</formula>
    </cfRule>
    <cfRule type="expression" dxfId="823" priority="275">
      <formula>$A$97="x"</formula>
    </cfRule>
    <cfRule type="expression" dxfId="822" priority="274">
      <formula>($A$97&lt;&gt;"")*($C$97=0)</formula>
    </cfRule>
  </conditionalFormatting>
  <conditionalFormatting sqref="A98:I98">
    <cfRule type="expression" dxfId="821" priority="273">
      <formula>($A$98&lt;&gt;$C$98)*($A$98&lt;&gt;"")</formula>
    </cfRule>
    <cfRule type="expression" dxfId="820" priority="272">
      <formula>$A$98="x"</formula>
    </cfRule>
    <cfRule type="expression" dxfId="819" priority="271">
      <formula>($A$98&lt;&gt;"")*($C$98=0)</formula>
    </cfRule>
  </conditionalFormatting>
  <conditionalFormatting sqref="A99:I99">
    <cfRule type="expression" dxfId="818" priority="270">
      <formula>($A$99&lt;&gt;$C$99)*($A$99&lt;&gt;"")</formula>
    </cfRule>
    <cfRule type="expression" dxfId="817" priority="269">
      <formula>$A$99="x"</formula>
    </cfRule>
    <cfRule type="expression" dxfId="816" priority="268">
      <formula>($A$99&lt;&gt;"")*($C$99=0)</formula>
    </cfRule>
  </conditionalFormatting>
  <conditionalFormatting sqref="A100:I100">
    <cfRule type="expression" dxfId="815" priority="267">
      <formula>($A$100&lt;&gt;$C$100)*($A$100&lt;&gt;"")</formula>
    </cfRule>
    <cfRule type="expression" dxfId="814" priority="266">
      <formula>$A$100="x"</formula>
    </cfRule>
    <cfRule type="expression" dxfId="813" priority="265">
      <formula>($A$100&lt;&gt;"")*($C$100=0)</formula>
    </cfRule>
  </conditionalFormatting>
  <conditionalFormatting sqref="A101:I101">
    <cfRule type="expression" dxfId="812" priority="264">
      <formula>($A$101&lt;&gt;$C$101)*($A$101&lt;&gt;"")</formula>
    </cfRule>
    <cfRule type="expression" dxfId="811" priority="263">
      <formula>$A$101="x"</formula>
    </cfRule>
    <cfRule type="expression" dxfId="810" priority="262">
      <formula>($A$101&lt;&gt;"")*($C$101=0)</formula>
    </cfRule>
  </conditionalFormatting>
  <conditionalFormatting sqref="A102:I102">
    <cfRule type="expression" dxfId="809" priority="261">
      <formula>($A$102&lt;&gt;$C$102)*($A$102&lt;&gt;"")</formula>
    </cfRule>
    <cfRule type="expression" dxfId="808" priority="260">
      <formula>$A$102="x"</formula>
    </cfRule>
    <cfRule type="expression" dxfId="807" priority="259">
      <formula>($A$102&lt;&gt;"")*($C$102=0)</formula>
    </cfRule>
  </conditionalFormatting>
  <conditionalFormatting sqref="A103:I103">
    <cfRule type="expression" dxfId="806" priority="258">
      <formula>($A$103&lt;&gt;$C$103)*($A$103&lt;&gt;"")</formula>
    </cfRule>
    <cfRule type="expression" dxfId="805" priority="257">
      <formula>$A$103="x"</formula>
    </cfRule>
    <cfRule type="expression" dxfId="804" priority="256">
      <formula>($A$103&lt;&gt;"")*($C$103=0)</formula>
    </cfRule>
  </conditionalFormatting>
  <conditionalFormatting sqref="A104:I104">
    <cfRule type="expression" dxfId="803" priority="255">
      <formula>($A$104&lt;&gt;$C$104)*($A$104&lt;&gt;"")</formula>
    </cfRule>
    <cfRule type="expression" dxfId="802" priority="254">
      <formula>$A$104="x"</formula>
    </cfRule>
    <cfRule type="expression" dxfId="801" priority="253">
      <formula>($A$104&lt;&gt;"")*($C$104=0)</formula>
    </cfRule>
  </conditionalFormatting>
  <conditionalFormatting sqref="A105:I105">
    <cfRule type="expression" dxfId="800" priority="252">
      <formula>($A$105&lt;&gt;$C$105)*($A$105&lt;&gt;"")</formula>
    </cfRule>
    <cfRule type="expression" dxfId="799" priority="251">
      <formula>$A$105="x"</formula>
    </cfRule>
    <cfRule type="expression" dxfId="798" priority="250">
      <formula>($A$105&lt;&gt;"")*($C$105=0)</formula>
    </cfRule>
  </conditionalFormatting>
  <conditionalFormatting sqref="A106:I106">
    <cfRule type="expression" dxfId="797" priority="249">
      <formula>($A$106&lt;&gt;$C$106)*($A$106&lt;&gt;"")</formula>
    </cfRule>
    <cfRule type="expression" dxfId="796" priority="248">
      <formula>$A$106="x"</formula>
    </cfRule>
    <cfRule type="expression" dxfId="795" priority="247">
      <formula>($A$106&lt;&gt;"")*($C$106=0)</formula>
    </cfRule>
  </conditionalFormatting>
  <conditionalFormatting sqref="A107:I107">
    <cfRule type="expression" dxfId="794" priority="246">
      <formula>($A$107&lt;&gt;$C$107)*($A$107&lt;&gt;"")</formula>
    </cfRule>
    <cfRule type="expression" dxfId="793" priority="245">
      <formula>$A$107="x"</formula>
    </cfRule>
    <cfRule type="expression" dxfId="792" priority="244">
      <formula>($A$107&lt;&gt;"")*($C$107=0)</formula>
    </cfRule>
  </conditionalFormatting>
  <conditionalFormatting sqref="A108:I108">
    <cfRule type="expression" dxfId="791" priority="243">
      <formula>($A$108&lt;&gt;$C$108)*($A$108&lt;&gt;"")</formula>
    </cfRule>
    <cfRule type="expression" dxfId="790" priority="242">
      <formula>$A$108="x"</formula>
    </cfRule>
    <cfRule type="expression" dxfId="789" priority="241">
      <formula>($A$108&lt;&gt;"")*($C$108=0)</formula>
    </cfRule>
  </conditionalFormatting>
  <conditionalFormatting sqref="A109:I109">
    <cfRule type="expression" dxfId="788" priority="240">
      <formula>($A$109&lt;&gt;$C$109)*($A$109&lt;&gt;"")</formula>
    </cfRule>
    <cfRule type="expression" dxfId="787" priority="239">
      <formula>$A$109="x"</formula>
    </cfRule>
    <cfRule type="expression" dxfId="786" priority="238">
      <formula>($A$109&lt;&gt;"")*($C$109=0)</formula>
    </cfRule>
  </conditionalFormatting>
  <conditionalFormatting sqref="A110:I110">
    <cfRule type="expression" dxfId="785" priority="237">
      <formula>($A$110&lt;&gt;$C$110)*($A$110&lt;&gt;"")</formula>
    </cfRule>
    <cfRule type="expression" dxfId="784" priority="236">
      <formula>$A$110="x"</formula>
    </cfRule>
    <cfRule type="expression" dxfId="783" priority="235">
      <formula>($A$110&lt;&gt;"")*($C$110=0)</formula>
    </cfRule>
  </conditionalFormatting>
  <conditionalFormatting sqref="A111:I111">
    <cfRule type="expression" dxfId="782" priority="234">
      <formula>($A$111&lt;&gt;$C$111)*($A$111&lt;&gt;"")</formula>
    </cfRule>
    <cfRule type="expression" dxfId="781" priority="233">
      <formula>$A$111="x"</formula>
    </cfRule>
    <cfRule type="expression" dxfId="780" priority="232">
      <formula>($A$111&lt;&gt;"")*($C$111=0)</formula>
    </cfRule>
  </conditionalFormatting>
  <conditionalFormatting sqref="A112:I112">
    <cfRule type="expression" dxfId="779" priority="231">
      <formula>($A$112&lt;&gt;$C$112)*($A$112&lt;&gt;"")</formula>
    </cfRule>
    <cfRule type="expression" dxfId="778" priority="230">
      <formula>$A$112="x"</formula>
    </cfRule>
    <cfRule type="expression" dxfId="777" priority="229">
      <formula>($A$112&lt;&gt;"")*($C$112=0)</formula>
    </cfRule>
  </conditionalFormatting>
  <conditionalFormatting sqref="A113:I113">
    <cfRule type="expression" dxfId="776" priority="228">
      <formula>($A$113&lt;&gt;$C$113)*($A$113&lt;&gt;"")</formula>
    </cfRule>
    <cfRule type="expression" dxfId="775" priority="227">
      <formula>$A$113="x"</formula>
    </cfRule>
    <cfRule type="expression" dxfId="774" priority="226">
      <formula>($A$113&lt;&gt;"")*($C$113=0)</formula>
    </cfRule>
  </conditionalFormatting>
  <conditionalFormatting sqref="A114:I114">
    <cfRule type="expression" dxfId="773" priority="225">
      <formula>($A$114&lt;&gt;$C$114)*($A$114&lt;&gt;"")</formula>
    </cfRule>
    <cfRule type="expression" dxfId="772" priority="224">
      <formula>$A$114="x"</formula>
    </cfRule>
    <cfRule type="expression" dxfId="771" priority="223">
      <formula>($A$114&lt;&gt;"")*($C$114=0)</formula>
    </cfRule>
  </conditionalFormatting>
  <conditionalFormatting sqref="A115:I115">
    <cfRule type="expression" dxfId="770" priority="222">
      <formula>($A$115&lt;&gt;$C$115)*($A$115&lt;&gt;"")</formula>
    </cfRule>
    <cfRule type="expression" dxfId="769" priority="221">
      <formula>$A$115="x"</formula>
    </cfRule>
    <cfRule type="expression" dxfId="768" priority="220">
      <formula>($A$115&lt;&gt;"")*($C$115=0)</formula>
    </cfRule>
  </conditionalFormatting>
  <conditionalFormatting sqref="A116:I116">
    <cfRule type="expression" dxfId="767" priority="219">
      <formula>($A$116&lt;&gt;$C$116)*($A$116&lt;&gt;"")</formula>
    </cfRule>
    <cfRule type="expression" dxfId="766" priority="218">
      <formula>$A$116="x"</formula>
    </cfRule>
    <cfRule type="expression" dxfId="765" priority="217">
      <formula>($A$116&lt;&gt;"")*($C$116=0)</formula>
    </cfRule>
  </conditionalFormatting>
  <conditionalFormatting sqref="A117:I117">
    <cfRule type="expression" dxfId="764" priority="216">
      <formula>($A$117&lt;&gt;$C$117)*($A$117&lt;&gt;"")</formula>
    </cfRule>
    <cfRule type="expression" dxfId="763" priority="215">
      <formula>$A$117="x"</formula>
    </cfRule>
    <cfRule type="expression" dxfId="762" priority="214">
      <formula>($A$117&lt;&gt;"")*($C$117=0)</formula>
    </cfRule>
  </conditionalFormatting>
  <conditionalFormatting sqref="A118:I118">
    <cfRule type="expression" dxfId="761" priority="213">
      <formula>($A$118&lt;&gt;$C$118)*($A$118&lt;&gt;"")</formula>
    </cfRule>
    <cfRule type="expression" dxfId="760" priority="212">
      <formula>$A$118="x"</formula>
    </cfRule>
    <cfRule type="expression" dxfId="759" priority="211">
      <formula>($A$118&lt;&gt;"")*($C$118=0)</formula>
    </cfRule>
  </conditionalFormatting>
  <conditionalFormatting sqref="A119:I119">
    <cfRule type="expression" dxfId="758" priority="210">
      <formula>($A$119&lt;&gt;$C$119)*($A$119&lt;&gt;"")</formula>
    </cfRule>
    <cfRule type="expression" dxfId="757" priority="209">
      <formula>$A$119="x"</formula>
    </cfRule>
    <cfRule type="expression" dxfId="756" priority="208">
      <formula>($A$119&lt;&gt;"")*($C$119=0)</formula>
    </cfRule>
  </conditionalFormatting>
  <conditionalFormatting sqref="A120:I120">
    <cfRule type="expression" dxfId="755" priority="207">
      <formula>($A$120&lt;&gt;$C$120)*($A$120&lt;&gt;"")</formula>
    </cfRule>
    <cfRule type="expression" dxfId="754" priority="206">
      <formula>$A$120="x"</formula>
    </cfRule>
    <cfRule type="expression" dxfId="753" priority="205">
      <formula>($A$120&lt;&gt;"")*($C$120=0)</formula>
    </cfRule>
  </conditionalFormatting>
  <conditionalFormatting sqref="A121:I121">
    <cfRule type="expression" dxfId="752" priority="204">
      <formula>($A$121&lt;&gt;$C$121)*($A$121&lt;&gt;"")</formula>
    </cfRule>
    <cfRule type="expression" dxfId="751" priority="203">
      <formula>$A$121="x"</formula>
    </cfRule>
    <cfRule type="expression" dxfId="750" priority="202">
      <formula>($A$121&lt;&gt;"")*($C$121=0)</formula>
    </cfRule>
  </conditionalFormatting>
  <conditionalFormatting sqref="A122:I122">
    <cfRule type="expression" dxfId="749" priority="201">
      <formula>($A$122&lt;&gt;$C$122)*($A$122&lt;&gt;"")</formula>
    </cfRule>
    <cfRule type="expression" dxfId="748" priority="200">
      <formula>$A$122="x"</formula>
    </cfRule>
    <cfRule type="expression" dxfId="747" priority="199">
      <formula>($A$122&lt;&gt;"")*($C$122=0)</formula>
    </cfRule>
  </conditionalFormatting>
  <conditionalFormatting sqref="A123:I123">
    <cfRule type="expression" dxfId="746" priority="198">
      <formula>($A$123&lt;&gt;$C$123)*($A$123&lt;&gt;"")</formula>
    </cfRule>
    <cfRule type="expression" dxfId="745" priority="197">
      <formula>$A$123="x"</formula>
    </cfRule>
    <cfRule type="expression" dxfId="744" priority="196">
      <formula>($A$123&lt;&gt;"")*($C$123=0)</formula>
    </cfRule>
  </conditionalFormatting>
  <conditionalFormatting sqref="A124:I124">
    <cfRule type="expression" dxfId="743" priority="195">
      <formula>($A$124&lt;&gt;$C$124)*($A$124&lt;&gt;"")</formula>
    </cfRule>
    <cfRule type="expression" dxfId="742" priority="194">
      <formula>$A$124="x"</formula>
    </cfRule>
    <cfRule type="expression" dxfId="741" priority="193">
      <formula>($A$124&lt;&gt;"")*($C$124=0)</formula>
    </cfRule>
  </conditionalFormatting>
  <conditionalFormatting sqref="A125:I125">
    <cfRule type="expression" dxfId="740" priority="192">
      <formula>($A$125&lt;&gt;$C$125)*($A$125&lt;&gt;"")</formula>
    </cfRule>
    <cfRule type="expression" dxfId="739" priority="191">
      <formula>$A$125="x"</formula>
    </cfRule>
    <cfRule type="expression" dxfId="738" priority="190">
      <formula>($A$125&lt;&gt;"")*($C$125=0)</formula>
    </cfRule>
  </conditionalFormatting>
  <conditionalFormatting sqref="A126:I126">
    <cfRule type="expression" dxfId="737" priority="189">
      <formula>($A$126&lt;&gt;$C$126)*($A$126&lt;&gt;"")</formula>
    </cfRule>
    <cfRule type="expression" dxfId="736" priority="188">
      <formula>$A$126="x"</formula>
    </cfRule>
    <cfRule type="expression" dxfId="735" priority="187">
      <formula>($A$126&lt;&gt;"")*($C$126=0)</formula>
    </cfRule>
  </conditionalFormatting>
  <conditionalFormatting sqref="A127:I127">
    <cfRule type="expression" dxfId="734" priority="186">
      <formula>($A$127&lt;&gt;$C$127)*($A$127&lt;&gt;"")</formula>
    </cfRule>
    <cfRule type="expression" dxfId="733" priority="185">
      <formula>$A$127="x"</formula>
    </cfRule>
    <cfRule type="expression" dxfId="732" priority="184">
      <formula>($A$127&lt;&gt;"")*($C$127=0)</formula>
    </cfRule>
  </conditionalFormatting>
  <conditionalFormatting sqref="A128:I128">
    <cfRule type="expression" dxfId="731" priority="183">
      <formula>($A$128&lt;&gt;$C$128)*($A$128&lt;&gt;"")</formula>
    </cfRule>
    <cfRule type="expression" dxfId="730" priority="182">
      <formula>$A$128="x"</formula>
    </cfRule>
    <cfRule type="expression" dxfId="729" priority="181">
      <formula>($A$128&lt;&gt;"")*($C$128=0)</formula>
    </cfRule>
  </conditionalFormatting>
  <conditionalFormatting sqref="A129:I129">
    <cfRule type="expression" dxfId="728" priority="180">
      <formula>($A$129&lt;&gt;$C$129)*($A$129&lt;&gt;"")</formula>
    </cfRule>
    <cfRule type="expression" dxfId="727" priority="179">
      <formula>$A$129="x"</formula>
    </cfRule>
    <cfRule type="expression" dxfId="726" priority="178">
      <formula>($A$129&lt;&gt;"")*($C$129=0)</formula>
    </cfRule>
  </conditionalFormatting>
  <conditionalFormatting sqref="A130:I130">
    <cfRule type="expression" dxfId="725" priority="177">
      <formula>($A$130&lt;&gt;$C$130)*($A$130&lt;&gt;"")</formula>
    </cfRule>
    <cfRule type="expression" dxfId="724" priority="176">
      <formula>$A$130="x"</formula>
    </cfRule>
    <cfRule type="expression" dxfId="723" priority="175">
      <formula>($A$130&lt;&gt;"")*($C$130=0)</formula>
    </cfRule>
  </conditionalFormatting>
  <conditionalFormatting sqref="A131:I131">
    <cfRule type="expression" dxfId="722" priority="174">
      <formula>($A$131&lt;&gt;$C$131)*($A$131&lt;&gt;"")</formula>
    </cfRule>
    <cfRule type="expression" dxfId="721" priority="173">
      <formula>$A$131="x"</formula>
    </cfRule>
    <cfRule type="expression" dxfId="720" priority="172">
      <formula>($A$131&lt;&gt;"")*($C$131=0)</formula>
    </cfRule>
  </conditionalFormatting>
  <conditionalFormatting sqref="A132:I132">
    <cfRule type="expression" dxfId="719" priority="171">
      <formula>($A$132&lt;&gt;$C$132)*($A$132&lt;&gt;"")</formula>
    </cfRule>
    <cfRule type="expression" dxfId="718" priority="170">
      <formula>$A$132="x"</formula>
    </cfRule>
    <cfRule type="expression" dxfId="717" priority="169">
      <formula>($A$132&lt;&gt;"")*($C$132=0)</formula>
    </cfRule>
  </conditionalFormatting>
  <conditionalFormatting sqref="A133:I133">
    <cfRule type="expression" dxfId="716" priority="168">
      <formula>($A$133&lt;&gt;$C$133)*($A$133&lt;&gt;"")</formula>
    </cfRule>
    <cfRule type="expression" dxfId="715" priority="167">
      <formula>$A$133="x"</formula>
    </cfRule>
    <cfRule type="expression" dxfId="714" priority="166">
      <formula>($A$133&lt;&gt;"")*($C$133=0)</formula>
    </cfRule>
  </conditionalFormatting>
  <conditionalFormatting sqref="A134:I134">
    <cfRule type="expression" dxfId="713" priority="165">
      <formula>($A$134&lt;&gt;$C$134)*($A$134&lt;&gt;"")</formula>
    </cfRule>
    <cfRule type="expression" dxfId="712" priority="164">
      <formula>$A$134="x"</formula>
    </cfRule>
    <cfRule type="expression" dxfId="711" priority="163">
      <formula>($A$134&lt;&gt;"")*($C$134=0)</formula>
    </cfRule>
  </conditionalFormatting>
  <conditionalFormatting sqref="A135:I135">
    <cfRule type="expression" dxfId="710" priority="162">
      <formula>($A$135&lt;&gt;$C$135)*($A$135&lt;&gt;"")</formula>
    </cfRule>
    <cfRule type="expression" dxfId="709" priority="161">
      <formula>$A$135="x"</formula>
    </cfRule>
    <cfRule type="expression" dxfId="708" priority="160">
      <formula>($A$135&lt;&gt;"")*($C$135=0)</formula>
    </cfRule>
  </conditionalFormatting>
  <conditionalFormatting sqref="A136:I136">
    <cfRule type="expression" dxfId="707" priority="159">
      <formula>($A$136&lt;&gt;$C$136)*($A$136&lt;&gt;"")</formula>
    </cfRule>
    <cfRule type="expression" dxfId="706" priority="158">
      <formula>$A$136="x"</formula>
    </cfRule>
    <cfRule type="expression" dxfId="705" priority="157">
      <formula>($A$136&lt;&gt;"")*($C$136=0)</formula>
    </cfRule>
  </conditionalFormatting>
  <conditionalFormatting sqref="A137:I137">
    <cfRule type="expression" dxfId="704" priority="156">
      <formula>($A$137&lt;&gt;$C$137)*($A$137&lt;&gt;"")</formula>
    </cfRule>
    <cfRule type="expression" dxfId="703" priority="155">
      <formula>$A$137="x"</formula>
    </cfRule>
    <cfRule type="expression" dxfId="702" priority="154">
      <formula>($A$137&lt;&gt;"")*($C$137=0)</formula>
    </cfRule>
  </conditionalFormatting>
  <conditionalFormatting sqref="A138:I138">
    <cfRule type="expression" dxfId="701" priority="153">
      <formula>($A$138&lt;&gt;$C$138)*($A$138&lt;&gt;"")</formula>
    </cfRule>
    <cfRule type="expression" dxfId="700" priority="152">
      <formula>$A$138="x"</formula>
    </cfRule>
    <cfRule type="expression" dxfId="699" priority="151">
      <formula>($A$138&lt;&gt;"")*($C$138=0)</formula>
    </cfRule>
  </conditionalFormatting>
  <conditionalFormatting sqref="A139:I139">
    <cfRule type="expression" dxfId="698" priority="150">
      <formula>($A$139&lt;&gt;$C$139)*($A$139&lt;&gt;"")</formula>
    </cfRule>
    <cfRule type="expression" dxfId="697" priority="149">
      <formula>$A$139="x"</formula>
    </cfRule>
    <cfRule type="expression" dxfId="696" priority="148">
      <formula>($A$139&lt;&gt;"")*($C$139=0)</formula>
    </cfRule>
  </conditionalFormatting>
  <conditionalFormatting sqref="A140:I140">
    <cfRule type="expression" dxfId="695" priority="147">
      <formula>($A$140&lt;&gt;$C$140)*($A$140&lt;&gt;"")</formula>
    </cfRule>
    <cfRule type="expression" dxfId="694" priority="146">
      <formula>$A$140="x"</formula>
    </cfRule>
    <cfRule type="expression" dxfId="693" priority="145">
      <formula>($A$140&lt;&gt;"")*($C$140=0)</formula>
    </cfRule>
  </conditionalFormatting>
  <conditionalFormatting sqref="A141:I141">
    <cfRule type="expression" dxfId="692" priority="144">
      <formula>($A$141&lt;&gt;$C$141)*($A$141&lt;&gt;"")</formula>
    </cfRule>
    <cfRule type="expression" dxfId="691" priority="143">
      <formula>$A$141="x"</formula>
    </cfRule>
    <cfRule type="expression" dxfId="690" priority="142">
      <formula>($A$141&lt;&gt;"")*($C$141=0)</formula>
    </cfRule>
  </conditionalFormatting>
  <conditionalFormatting sqref="A142:I142">
    <cfRule type="expression" dxfId="689" priority="141">
      <formula>($A$142&lt;&gt;$C$142)*($A$142&lt;&gt;"")</formula>
    </cfRule>
    <cfRule type="expression" dxfId="688" priority="140">
      <formula>$A$142="x"</formula>
    </cfRule>
    <cfRule type="expression" dxfId="687" priority="139">
      <formula>($A$142&lt;&gt;"")*($C$142=0)</formula>
    </cfRule>
  </conditionalFormatting>
  <conditionalFormatting sqref="A143:I143">
    <cfRule type="expression" dxfId="686" priority="138">
      <formula>($A$143&lt;&gt;$C$143)*($A$143&lt;&gt;"")</formula>
    </cfRule>
    <cfRule type="expression" dxfId="685" priority="137">
      <formula>$A$143="x"</formula>
    </cfRule>
    <cfRule type="expression" dxfId="684" priority="136">
      <formula>($A$143&lt;&gt;"")*($C$143=0)</formula>
    </cfRule>
  </conditionalFormatting>
  <conditionalFormatting sqref="A144:I144">
    <cfRule type="expression" dxfId="683" priority="135">
      <formula>($A$144&lt;&gt;$C$144)*($A$144&lt;&gt;"")</formula>
    </cfRule>
    <cfRule type="expression" dxfId="682" priority="134">
      <formula>$A$144="x"</formula>
    </cfRule>
    <cfRule type="expression" dxfId="681" priority="133">
      <formula>($A$144&lt;&gt;"")*($C$144=0)</formula>
    </cfRule>
  </conditionalFormatting>
  <conditionalFormatting sqref="A145:I145">
    <cfRule type="expression" dxfId="680" priority="132">
      <formula>($A$145&lt;&gt;$C$145)*($A$145&lt;&gt;"")</formula>
    </cfRule>
    <cfRule type="expression" dxfId="679" priority="131">
      <formula>$A$145="x"</formula>
    </cfRule>
    <cfRule type="expression" dxfId="678" priority="130">
      <formula>($A$145&lt;&gt;"")*($C$145=0)</formula>
    </cfRule>
  </conditionalFormatting>
  <conditionalFormatting sqref="A146:I146">
    <cfRule type="expression" dxfId="677" priority="129">
      <formula>($A$146&lt;&gt;$C$146)*($A$146&lt;&gt;"")</formula>
    </cfRule>
    <cfRule type="expression" dxfId="676" priority="128">
      <formula>$A$146="x"</formula>
    </cfRule>
    <cfRule type="expression" dxfId="675" priority="127">
      <formula>($A$146&lt;&gt;"")*($C$146=0)</formula>
    </cfRule>
  </conditionalFormatting>
  <conditionalFormatting sqref="A147:I147">
    <cfRule type="expression" dxfId="674" priority="126">
      <formula>($A$147&lt;&gt;$C$147)*($A$147&lt;&gt;"")</formula>
    </cfRule>
    <cfRule type="expression" dxfId="673" priority="125">
      <formula>$A$147="x"</formula>
    </cfRule>
    <cfRule type="expression" dxfId="672" priority="124">
      <formula>($A$147&lt;&gt;"")*($C$147=0)</formula>
    </cfRule>
  </conditionalFormatting>
  <conditionalFormatting sqref="A148:I148">
    <cfRule type="expression" dxfId="671" priority="123">
      <formula>($A$148&lt;&gt;$C$148)*($A$148&lt;&gt;"")</formula>
    </cfRule>
    <cfRule type="expression" dxfId="670" priority="122">
      <formula>$A$148="x"</formula>
    </cfRule>
    <cfRule type="expression" dxfId="669" priority="121">
      <formula>($A$148&lt;&gt;"")*($C$148=0)</formula>
    </cfRule>
  </conditionalFormatting>
  <conditionalFormatting sqref="A149:I149">
    <cfRule type="expression" dxfId="668" priority="120">
      <formula>($A$149&lt;&gt;$C$149)*($A$149&lt;&gt;"")</formula>
    </cfRule>
    <cfRule type="expression" dxfId="667" priority="119">
      <formula>$A$149="x"</formula>
    </cfRule>
    <cfRule type="expression" dxfId="666" priority="118">
      <formula>($A$149&lt;&gt;"")*($C$149=0)</formula>
    </cfRule>
  </conditionalFormatting>
  <conditionalFormatting sqref="A150:I150">
    <cfRule type="expression" dxfId="665" priority="117">
      <formula>($A$150&lt;&gt;$C$150)*($A$150&lt;&gt;"")</formula>
    </cfRule>
    <cfRule type="expression" dxfId="664" priority="116">
      <formula>$A$150="x"</formula>
    </cfRule>
    <cfRule type="expression" dxfId="663" priority="115">
      <formula>($A$150&lt;&gt;"")*($C$150=0)</formula>
    </cfRule>
  </conditionalFormatting>
  <conditionalFormatting sqref="A151:I151">
    <cfRule type="expression" dxfId="662" priority="114">
      <formula>($A$151&lt;&gt;$C$151)*($A$151&lt;&gt;"")</formula>
    </cfRule>
    <cfRule type="expression" dxfId="661" priority="113">
      <formula>$A$151="x"</formula>
    </cfRule>
    <cfRule type="expression" dxfId="660" priority="112">
      <formula>($A$151&lt;&gt;"")*($C$151=0)</formula>
    </cfRule>
  </conditionalFormatting>
  <conditionalFormatting sqref="A152:I152">
    <cfRule type="expression" dxfId="659" priority="111">
      <formula>($A$152&lt;&gt;$C$152)*($A$152&lt;&gt;"")</formula>
    </cfRule>
    <cfRule type="expression" dxfId="658" priority="110">
      <formula>$A$152="x"</formula>
    </cfRule>
    <cfRule type="expression" dxfId="657" priority="109">
      <formula>($A$152&lt;&gt;"")*($C$152=0)</formula>
    </cfRule>
  </conditionalFormatting>
  <conditionalFormatting sqref="A153:I153">
    <cfRule type="expression" dxfId="656" priority="108">
      <formula>($A$153&lt;&gt;$C$153)*($A$153&lt;&gt;"")</formula>
    </cfRule>
    <cfRule type="expression" dxfId="655" priority="107">
      <formula>$A$153="x"</formula>
    </cfRule>
    <cfRule type="expression" dxfId="654" priority="106">
      <formula>($A$153&lt;&gt;"")*($C$153=0)</formula>
    </cfRule>
  </conditionalFormatting>
  <conditionalFormatting sqref="A154:I154">
    <cfRule type="expression" dxfId="653" priority="105">
      <formula>($A$154&lt;&gt;$C$154)*($A$154&lt;&gt;"")</formula>
    </cfRule>
    <cfRule type="expression" dxfId="652" priority="104">
      <formula>$A$154="x"</formula>
    </cfRule>
    <cfRule type="expression" dxfId="651" priority="103">
      <formula>($A$154&lt;&gt;"")*($C$154=0)</formula>
    </cfRule>
  </conditionalFormatting>
  <conditionalFormatting sqref="A155:I155">
    <cfRule type="expression" dxfId="650" priority="102">
      <formula>($A$155&lt;&gt;$C$155)*($A$155&lt;&gt;"")</formula>
    </cfRule>
    <cfRule type="expression" dxfId="649" priority="101">
      <formula>$A$155="x"</formula>
    </cfRule>
    <cfRule type="expression" dxfId="648" priority="100">
      <formula>($A$155&lt;&gt;"")*($C$155=0)</formula>
    </cfRule>
  </conditionalFormatting>
  <conditionalFormatting sqref="A156:I156">
    <cfRule type="expression" dxfId="647" priority="99">
      <formula>($A$156&lt;&gt;$C$156)*($A$156&lt;&gt;"")</formula>
    </cfRule>
    <cfRule type="expression" dxfId="646" priority="98">
      <formula>$A$156="x"</formula>
    </cfRule>
    <cfRule type="expression" dxfId="645" priority="97">
      <formula>($A$156&lt;&gt;"")*($C$156=0)</formula>
    </cfRule>
  </conditionalFormatting>
  <conditionalFormatting sqref="A157:I157">
    <cfRule type="expression" dxfId="644" priority="96">
      <formula>($A$157&lt;&gt;$C$157)*($A$157&lt;&gt;"")</formula>
    </cfRule>
    <cfRule type="expression" dxfId="643" priority="95">
      <formula>$A$157="x"</formula>
    </cfRule>
    <cfRule type="expression" dxfId="642" priority="94">
      <formula>($A$157&lt;&gt;"")*($C$157=0)</formula>
    </cfRule>
  </conditionalFormatting>
  <conditionalFormatting sqref="A158:I158">
    <cfRule type="expression" dxfId="641" priority="93">
      <formula>($A$158&lt;&gt;$C$158)*($A$158&lt;&gt;"")</formula>
    </cfRule>
    <cfRule type="expression" dxfId="640" priority="92">
      <formula>$A$158="x"</formula>
    </cfRule>
    <cfRule type="expression" dxfId="639" priority="91">
      <formula>($A$158&lt;&gt;"")*($C$158=0)</formula>
    </cfRule>
  </conditionalFormatting>
  <conditionalFormatting sqref="A159:I159">
    <cfRule type="expression" dxfId="638" priority="90">
      <formula>($A$159&lt;&gt;$C$159)*($A$159&lt;&gt;"")</formula>
    </cfRule>
    <cfRule type="expression" dxfId="637" priority="89">
      <formula>$A$159="x"</formula>
    </cfRule>
    <cfRule type="expression" dxfId="636" priority="88">
      <formula>($A$159&lt;&gt;"")*($C$159=0)</formula>
    </cfRule>
  </conditionalFormatting>
  <conditionalFormatting sqref="A160:I160">
    <cfRule type="expression" dxfId="635" priority="87">
      <formula>($A$160&lt;&gt;$C$160)*($A$160&lt;&gt;"")</formula>
    </cfRule>
    <cfRule type="expression" dxfId="634" priority="86">
      <formula>$A$160="x"</formula>
    </cfRule>
    <cfRule type="expression" dxfId="633" priority="85">
      <formula>($A$160&lt;&gt;"")*($C$160=0)</formula>
    </cfRule>
  </conditionalFormatting>
  <conditionalFormatting sqref="A161:I161">
    <cfRule type="expression" dxfId="632" priority="84">
      <formula>($A$161&lt;&gt;$C$161)*($A$161&lt;&gt;"")</formula>
    </cfRule>
    <cfRule type="expression" dxfId="631" priority="83">
      <formula>$A$161="x"</formula>
    </cfRule>
    <cfRule type="expression" dxfId="630" priority="82">
      <formula>($A$161&lt;&gt;"")*($C$161=0)</formula>
    </cfRule>
  </conditionalFormatting>
  <conditionalFormatting sqref="A162:I162">
    <cfRule type="expression" dxfId="629" priority="81">
      <formula>($A$162&lt;&gt;$C$162)*($A$162&lt;&gt;"")</formula>
    </cfRule>
    <cfRule type="expression" dxfId="628" priority="80">
      <formula>$A$162="x"</formula>
    </cfRule>
    <cfRule type="expression" dxfId="627" priority="79">
      <formula>($A$162&lt;&gt;"")*($C$162=0)</formula>
    </cfRule>
  </conditionalFormatting>
  <conditionalFormatting sqref="A163:I163">
    <cfRule type="expression" dxfId="626" priority="78">
      <formula>($A$163&lt;&gt;$C$163)*($A$163&lt;&gt;"")</formula>
    </cfRule>
    <cfRule type="expression" dxfId="625" priority="77">
      <formula>$A$163="x"</formula>
    </cfRule>
    <cfRule type="expression" dxfId="624" priority="76">
      <formula>($A$163&lt;&gt;"")*($C$163=0)</formula>
    </cfRule>
  </conditionalFormatting>
  <conditionalFormatting sqref="A164:I164">
    <cfRule type="expression" dxfId="623" priority="75">
      <formula>($A$164&lt;&gt;$C$164)*($A$164&lt;&gt;"")</formula>
    </cfRule>
    <cfRule type="expression" dxfId="622" priority="74">
      <formula>$A$164="x"</formula>
    </cfRule>
    <cfRule type="expression" dxfId="621" priority="73">
      <formula>($A$164&lt;&gt;"")*($C$164=0)</formula>
    </cfRule>
  </conditionalFormatting>
  <conditionalFormatting sqref="A165:I165">
    <cfRule type="expression" dxfId="620" priority="72">
      <formula>($A$165&lt;&gt;$C$165)*($A$165&lt;&gt;"")</formula>
    </cfRule>
    <cfRule type="expression" dxfId="619" priority="71">
      <formula>$A$165="x"</formula>
    </cfRule>
    <cfRule type="expression" dxfId="618" priority="70">
      <formula>($A$165&lt;&gt;"")*($C$165=0)</formula>
    </cfRule>
  </conditionalFormatting>
  <conditionalFormatting sqref="A166:I166">
    <cfRule type="expression" dxfId="617" priority="69">
      <formula>($A$166&lt;&gt;$C$166)*($A$166&lt;&gt;"")</formula>
    </cfRule>
    <cfRule type="expression" dxfId="616" priority="68">
      <formula>$A$166="x"</formula>
    </cfRule>
    <cfRule type="expression" dxfId="615" priority="67">
      <formula>($A$166&lt;&gt;"")*($C$166=0)</formula>
    </cfRule>
  </conditionalFormatting>
  <conditionalFormatting sqref="A167:I167">
    <cfRule type="expression" dxfId="614" priority="66">
      <formula>($A$167&lt;&gt;$C$167)*($A$167&lt;&gt;"")</formula>
    </cfRule>
    <cfRule type="expression" dxfId="613" priority="65">
      <formula>$A$167="x"</formula>
    </cfRule>
    <cfRule type="expression" dxfId="612" priority="64">
      <formula>($A$167&lt;&gt;"")*($C$167=0)</formula>
    </cfRule>
  </conditionalFormatting>
  <conditionalFormatting sqref="A168:I168">
    <cfRule type="expression" dxfId="611" priority="63">
      <formula>($A$168&lt;&gt;$C$168)*($A$168&lt;&gt;"")</formula>
    </cfRule>
    <cfRule type="expression" dxfId="610" priority="62">
      <formula>$A$168="x"</formula>
    </cfRule>
    <cfRule type="expression" dxfId="609" priority="61">
      <formula>($A$168&lt;&gt;"")*($C$168=0)</formula>
    </cfRule>
  </conditionalFormatting>
  <conditionalFormatting sqref="A169:I169">
    <cfRule type="expression" dxfId="608" priority="60">
      <formula>($A$169&lt;&gt;$C$169)*($A$169&lt;&gt;"")</formula>
    </cfRule>
    <cfRule type="expression" dxfId="607" priority="59">
      <formula>$A$169="x"</formula>
    </cfRule>
    <cfRule type="expression" dxfId="606" priority="58">
      <formula>($A$169&lt;&gt;"")*($C$169=0)</formula>
    </cfRule>
  </conditionalFormatting>
  <conditionalFormatting sqref="A170:I170">
    <cfRule type="expression" dxfId="605" priority="57">
      <formula>($A$170&lt;&gt;$C$170)*($A$170&lt;&gt;"")</formula>
    </cfRule>
    <cfRule type="expression" dxfId="604" priority="56">
      <formula>$A$170="x"</formula>
    </cfRule>
    <cfRule type="expression" dxfId="603" priority="55">
      <formula>($A$170&lt;&gt;"")*($C$170=0)</formula>
    </cfRule>
  </conditionalFormatting>
  <conditionalFormatting sqref="A171:I171">
    <cfRule type="expression" dxfId="602" priority="54">
      <formula>($A$171&lt;&gt;$C$171)*($A$171&lt;&gt;"")</formula>
    </cfRule>
    <cfRule type="expression" dxfId="601" priority="53">
      <formula>$A$171="x"</formula>
    </cfRule>
    <cfRule type="expression" dxfId="600" priority="52">
      <formula>($A$171&lt;&gt;"")*($C$171=0)</formula>
    </cfRule>
  </conditionalFormatting>
  <conditionalFormatting sqref="A172:I172">
    <cfRule type="expression" dxfId="599" priority="51">
      <formula>($A$172&lt;&gt;$C$172)*($A$172&lt;&gt;"")</formula>
    </cfRule>
    <cfRule type="expression" dxfId="598" priority="50">
      <formula>$A$172="x"</formula>
    </cfRule>
    <cfRule type="expression" dxfId="597" priority="49">
      <formula>($A$172&lt;&gt;"")*($C$172=0)</formula>
    </cfRule>
  </conditionalFormatting>
  <conditionalFormatting sqref="A173:I173">
    <cfRule type="expression" dxfId="596" priority="48">
      <formula>($A$173&lt;&gt;$C$173)*($A$173&lt;&gt;"")</formula>
    </cfRule>
    <cfRule type="expression" dxfId="595" priority="47">
      <formula>$A$173="x"</formula>
    </cfRule>
    <cfRule type="expression" dxfId="594" priority="46">
      <formula>($A$173&lt;&gt;"")*($C$173=0)</formula>
    </cfRule>
  </conditionalFormatting>
  <conditionalFormatting sqref="A174:I174">
    <cfRule type="expression" dxfId="593" priority="45">
      <formula>($A$174&lt;&gt;$C$174)*($A$174&lt;&gt;"")</formula>
    </cfRule>
    <cfRule type="expression" dxfId="592" priority="44">
      <formula>$A$174="x"</formula>
    </cfRule>
    <cfRule type="expression" dxfId="591" priority="43">
      <formula>($A$174&lt;&gt;"")*($C$174=0)</formula>
    </cfRule>
  </conditionalFormatting>
  <conditionalFormatting sqref="A175:I175">
    <cfRule type="expression" dxfId="590" priority="42">
      <formula>($A$175&lt;&gt;$C$175)*($A$175&lt;&gt;"")</formula>
    </cfRule>
    <cfRule type="expression" dxfId="589" priority="41">
      <formula>$A$175="x"</formula>
    </cfRule>
    <cfRule type="expression" dxfId="588" priority="40">
      <formula>($A$175&lt;&gt;"")*($C$175=0)</formula>
    </cfRule>
  </conditionalFormatting>
  <conditionalFormatting sqref="A176:I176">
    <cfRule type="expression" dxfId="587" priority="39">
      <formula>($A$176&lt;&gt;$C$176)*($A$176&lt;&gt;"")</formula>
    </cfRule>
    <cfRule type="expression" dxfId="586" priority="38">
      <formula>$A$176="x"</formula>
    </cfRule>
    <cfRule type="expression" dxfId="585" priority="37">
      <formula>($A$176&lt;&gt;"")*($C$176=0)</formula>
    </cfRule>
  </conditionalFormatting>
  <conditionalFormatting sqref="A177:I177">
    <cfRule type="expression" dxfId="584" priority="36">
      <formula>($A$177&lt;&gt;$C$177)*($A$177&lt;&gt;"")</formula>
    </cfRule>
    <cfRule type="expression" dxfId="583" priority="35">
      <formula>$A$177="x"</formula>
    </cfRule>
    <cfRule type="expression" dxfId="582" priority="34">
      <formula>($A$177&lt;&gt;"")*($C$177=0)</formula>
    </cfRule>
  </conditionalFormatting>
  <conditionalFormatting sqref="A178:I178">
    <cfRule type="expression" dxfId="581" priority="33">
      <formula>($A$178&lt;&gt;$C$178)*($A$178&lt;&gt;"")</formula>
    </cfRule>
    <cfRule type="expression" dxfId="580" priority="32">
      <formula>$A$178="x"</formula>
    </cfRule>
    <cfRule type="expression" dxfId="579" priority="31">
      <formula>($A$178&lt;&gt;"")*($C$178=0)</formula>
    </cfRule>
  </conditionalFormatting>
  <conditionalFormatting sqref="A179:I179">
    <cfRule type="expression" dxfId="578" priority="30">
      <formula>($A$179&lt;&gt;$C$179)*($A$179&lt;&gt;"")</formula>
    </cfRule>
    <cfRule type="expression" dxfId="577" priority="29">
      <formula>$A$179="x"</formula>
    </cfRule>
    <cfRule type="expression" dxfId="576" priority="28">
      <formula>($A$179&lt;&gt;"")*($C$179=0)</formula>
    </cfRule>
  </conditionalFormatting>
  <conditionalFormatting sqref="A180:I180">
    <cfRule type="expression" dxfId="575" priority="27">
      <formula>($A$180&lt;&gt;$C$180)*($A$180&lt;&gt;"")</formula>
    </cfRule>
    <cfRule type="expression" dxfId="574" priority="26">
      <formula>$A$180="x"</formula>
    </cfRule>
    <cfRule type="expression" dxfId="573" priority="25">
      <formula>($A$180&lt;&gt;"")*($C$180=0)</formula>
    </cfRule>
  </conditionalFormatting>
  <conditionalFormatting sqref="A181:I181">
    <cfRule type="expression" dxfId="572" priority="24">
      <formula>($A$181&lt;&gt;$C$181)*($A$181&lt;&gt;"")</formula>
    </cfRule>
    <cfRule type="expression" dxfId="571" priority="23">
      <formula>$A$181="x"</formula>
    </cfRule>
    <cfRule type="expression" dxfId="570" priority="22">
      <formula>($A$181&lt;&gt;"")*($C$181=0)</formula>
    </cfRule>
  </conditionalFormatting>
  <conditionalFormatting sqref="A182:I182">
    <cfRule type="expression" dxfId="569" priority="21">
      <formula>($A$182&lt;&gt;$C$182)*($A$182&lt;&gt;"")</formula>
    </cfRule>
    <cfRule type="expression" dxfId="568" priority="20">
      <formula>$A$182="x"</formula>
    </cfRule>
    <cfRule type="expression" dxfId="567" priority="19">
      <formula>($A$182&lt;&gt;"")*($C$182=0)</formula>
    </cfRule>
  </conditionalFormatting>
  <conditionalFormatting sqref="A183:I183">
    <cfRule type="expression" dxfId="566" priority="18">
      <formula>($A$183&lt;&gt;$C$183)*($A$183&lt;&gt;"")</formula>
    </cfRule>
    <cfRule type="expression" dxfId="565" priority="17">
      <formula>$A$183="x"</formula>
    </cfRule>
    <cfRule type="expression" dxfId="564" priority="16">
      <formula>($A$183&lt;&gt;"")*($C$183=0)</formula>
    </cfRule>
  </conditionalFormatting>
  <conditionalFormatting sqref="A184:I184">
    <cfRule type="expression" dxfId="563" priority="15">
      <formula>($A$184&lt;&gt;$C$184)*($A$184&lt;&gt;"")</formula>
    </cfRule>
    <cfRule type="expression" dxfId="562" priority="14">
      <formula>$A$184="x"</formula>
    </cfRule>
    <cfRule type="expression" dxfId="561" priority="13">
      <formula>($A$184&lt;&gt;"")*($C$184=0)</formula>
    </cfRule>
  </conditionalFormatting>
  <conditionalFormatting sqref="A185:I185">
    <cfRule type="expression" dxfId="560" priority="12">
      <formula>($A$185&lt;&gt;$C$185)*($A$185&lt;&gt;"")</formula>
    </cfRule>
    <cfRule type="expression" dxfId="559" priority="11">
      <formula>$A$185="x"</formula>
    </cfRule>
    <cfRule type="expression" dxfId="558" priority="10">
      <formula>($A$185&lt;&gt;"")*($C$185=0)</formula>
    </cfRule>
  </conditionalFormatting>
  <conditionalFormatting sqref="A186:I186">
    <cfRule type="expression" dxfId="557" priority="9">
      <formula>($A$186&lt;&gt;$C$186)*($A$186&lt;&gt;"")</formula>
    </cfRule>
    <cfRule type="expression" dxfId="556" priority="8">
      <formula>$A$186="x"</formula>
    </cfRule>
    <cfRule type="expression" dxfId="555" priority="7">
      <formula>($A$186&lt;&gt;"")*($C$186=0)</formula>
    </cfRule>
  </conditionalFormatting>
  <conditionalFormatting sqref="A187:I187">
    <cfRule type="expression" dxfId="554" priority="6">
      <formula>($A$187&lt;&gt;$C$187)*($A$187&lt;&gt;"")</formula>
    </cfRule>
    <cfRule type="expression" dxfId="553" priority="5">
      <formula>$A$187="x"</formula>
    </cfRule>
    <cfRule type="expression" dxfId="552" priority="4">
      <formula>($A$187&lt;&gt;"")*($C$187=0)</formula>
    </cfRule>
  </conditionalFormatting>
  <conditionalFormatting sqref="A188:I188">
    <cfRule type="expression" dxfId="551" priority="3">
      <formula>($A$188&lt;&gt;$C$188)*($A$188&lt;&gt;"")</formula>
    </cfRule>
    <cfRule type="expression" dxfId="550" priority="2">
      <formula>$A$188="x"</formula>
    </cfRule>
    <cfRule type="expression" dxfId="549" priority="1">
      <formula>($A$188&lt;&gt;"")*($C$188=0)</formula>
    </cfRule>
  </conditionalFormatting>
  <pageMargins left="0.7" right="0.7" top="0.75" bottom="0.75" header="0.3" footer="0.3"/>
  <pageSetup paperSize="9" orientation="landscape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231"/>
  <sheetViews>
    <sheetView tabSelected="1" zoomScaleNormal="100" workbookViewId="0">
      <selection activeCell="C34" sqref="C34"/>
    </sheetView>
  </sheetViews>
  <sheetFormatPr defaultColWidth="11.42578125" defaultRowHeight="12"/>
  <cols>
    <col min="1" max="1" width="23.7109375" style="17" bestFit="1" customWidth="1"/>
    <col min="2" max="2" width="16" style="17" bestFit="1" customWidth="1"/>
    <col min="3" max="3" width="20" style="17" bestFit="1" customWidth="1"/>
    <col min="4" max="4" width="13.5703125" style="16" bestFit="1" customWidth="1"/>
    <col min="5" max="5" width="13.7109375" style="16" bestFit="1" customWidth="1"/>
    <col min="6" max="6" width="7.42578125" style="16" bestFit="1" customWidth="1"/>
    <col min="7" max="7" width="7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434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197</v>
      </c>
      <c r="B6" s="60">
        <v>4</v>
      </c>
      <c r="C6" s="60">
        <v>4</v>
      </c>
      <c r="D6" s="61">
        <v>687477172</v>
      </c>
      <c r="E6" s="61">
        <v>606228537</v>
      </c>
      <c r="F6" s="28"/>
    </row>
    <row r="7" spans="1:6" s="29" customFormat="1">
      <c r="A7" s="60" t="s">
        <v>161</v>
      </c>
      <c r="B7" s="60">
        <v>3</v>
      </c>
      <c r="C7" s="60">
        <v>3</v>
      </c>
      <c r="D7" s="61">
        <v>610745387</v>
      </c>
      <c r="E7" s="61">
        <v>600505659</v>
      </c>
      <c r="F7" s="28"/>
    </row>
    <row r="8" spans="1:6" s="29" customFormat="1">
      <c r="A8" s="60" t="s">
        <v>316</v>
      </c>
      <c r="B8" s="60">
        <v>6</v>
      </c>
      <c r="C8" s="60">
        <v>6</v>
      </c>
      <c r="D8" s="61">
        <v>669637057</v>
      </c>
      <c r="E8" s="61">
        <v>659731444</v>
      </c>
      <c r="F8" s="28"/>
    </row>
    <row r="9" spans="1:6" s="29" customFormat="1">
      <c r="A9" s="40"/>
      <c r="B9" s="40"/>
      <c r="C9" s="40"/>
      <c r="D9" s="41"/>
      <c r="E9" s="41"/>
      <c r="F9" s="28"/>
    </row>
    <row r="10" spans="1:6" s="29" customFormat="1">
      <c r="A10" s="40"/>
      <c r="B10" s="40"/>
      <c r="C10" s="40"/>
      <c r="D10" s="41"/>
      <c r="E10" s="41"/>
      <c r="F10" s="28"/>
    </row>
    <row r="11" spans="1:6" s="29" customFormat="1">
      <c r="A11" s="40"/>
      <c r="B11" s="55" t="s">
        <v>455</v>
      </c>
      <c r="C11" s="56" t="s">
        <v>456</v>
      </c>
      <c r="D11" s="41"/>
      <c r="E11" s="41"/>
      <c r="F11" s="28"/>
    </row>
    <row r="12" spans="1:6" s="29" customFormat="1">
      <c r="A12" s="40"/>
      <c r="B12" s="55"/>
      <c r="C12" s="57" t="s">
        <v>457</v>
      </c>
      <c r="D12" s="41"/>
      <c r="E12" s="41"/>
      <c r="F12" s="28"/>
    </row>
    <row r="13" spans="1:6" s="29" customFormat="1">
      <c r="A13" s="40"/>
      <c r="B13" s="55"/>
      <c r="C13" s="58" t="s">
        <v>458</v>
      </c>
      <c r="D13" s="41"/>
      <c r="E13" s="41"/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40"/>
      <c r="C15" s="40"/>
      <c r="D15" s="41"/>
      <c r="E15" s="41"/>
      <c r="F15" s="28"/>
    </row>
    <row r="16" spans="1:6" s="29" customFormat="1">
      <c r="A16" s="40"/>
      <c r="B16" s="40"/>
      <c r="C16" s="40"/>
      <c r="D16" s="41"/>
      <c r="E16" s="41"/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autoFilter ref="A5:E8">
    <sortState ref="A6:G8">
      <sortCondition ref="A5:A8"/>
    </sortState>
  </autoFilter>
  <mergeCells count="2">
    <mergeCell ref="A2:C2"/>
    <mergeCell ref="B11:B13"/>
  </mergeCells>
  <phoneticPr fontId="0" type="noConversion"/>
  <conditionalFormatting sqref="A6:E6">
    <cfRule type="expression" dxfId="548" priority="9">
      <formula>$C$6&lt;&gt;$B$6</formula>
    </cfRule>
    <cfRule type="expression" dxfId="547" priority="8">
      <formula>$C$6="NO VA HOY"</formula>
    </cfRule>
    <cfRule type="expression" dxfId="546" priority="7">
      <formula>$B$6=0</formula>
    </cfRule>
  </conditionalFormatting>
  <conditionalFormatting sqref="A7:E7">
    <cfRule type="expression" dxfId="545" priority="6">
      <formula>$C$7&lt;&gt;$B$7</formula>
    </cfRule>
    <cfRule type="expression" dxfId="544" priority="5">
      <formula>$C$7="NO VA HOY"</formula>
    </cfRule>
    <cfRule type="expression" dxfId="543" priority="4">
      <formula>$B$7=0</formula>
    </cfRule>
  </conditionalFormatting>
  <conditionalFormatting sqref="A8:E8">
    <cfRule type="expression" dxfId="542" priority="3">
      <formula>$C$8&lt;&gt;$B$8</formula>
    </cfRule>
    <cfRule type="expression" dxfId="541" priority="2">
      <formula>$C$8="NO VA HOY"</formula>
    </cfRule>
    <cfRule type="expression" dxfId="540" priority="1">
      <formula>$B$8=0</formula>
    </cfRule>
  </conditionalFormatting>
  <pageMargins left="0.7" right="0.7" top="0.75" bottom="0.75" header="0.3" footer="0.3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231"/>
  <sheetViews>
    <sheetView zoomScaleNormal="100" workbookViewId="0">
      <selection activeCell="A5" sqref="A5:E13"/>
    </sheetView>
  </sheetViews>
  <sheetFormatPr defaultColWidth="11.42578125" defaultRowHeight="12"/>
  <cols>
    <col min="1" max="1" width="37.57031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435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237</v>
      </c>
      <c r="B6" s="60">
        <v>5</v>
      </c>
      <c r="C6" s="60">
        <v>5</v>
      </c>
      <c r="D6" s="61" t="s">
        <v>238</v>
      </c>
      <c r="E6" s="61" t="s">
        <v>239</v>
      </c>
      <c r="F6" s="28"/>
    </row>
    <row r="7" spans="1:6" s="29" customFormat="1">
      <c r="A7" s="60" t="s">
        <v>378</v>
      </c>
      <c r="B7" s="60">
        <v>7</v>
      </c>
      <c r="C7" s="60">
        <v>7</v>
      </c>
      <c r="D7" s="61" t="s">
        <v>379</v>
      </c>
      <c r="E7" s="61" t="s">
        <v>380</v>
      </c>
      <c r="F7" s="28"/>
    </row>
    <row r="8" spans="1:6" s="29" customFormat="1">
      <c r="A8" s="60" t="s">
        <v>117</v>
      </c>
      <c r="B8" s="60">
        <v>2</v>
      </c>
      <c r="C8" s="60">
        <v>2</v>
      </c>
      <c r="D8" s="61" t="s">
        <v>115</v>
      </c>
      <c r="E8" s="61" t="s">
        <v>116</v>
      </c>
      <c r="F8" s="28"/>
    </row>
    <row r="9" spans="1:6" s="29" customFormat="1">
      <c r="A9" s="60" t="s">
        <v>353</v>
      </c>
      <c r="B9" s="60">
        <v>7</v>
      </c>
      <c r="C9" s="60">
        <v>7</v>
      </c>
      <c r="D9" s="61" t="s">
        <v>351</v>
      </c>
      <c r="E9" s="61" t="s">
        <v>352</v>
      </c>
      <c r="F9" s="28"/>
    </row>
    <row r="10" spans="1:6" s="29" customFormat="1">
      <c r="A10" s="60" t="s">
        <v>162</v>
      </c>
      <c r="B10" s="60">
        <v>3</v>
      </c>
      <c r="C10" s="60">
        <v>3</v>
      </c>
      <c r="D10" s="61">
        <v>610745387</v>
      </c>
      <c r="E10" s="61">
        <v>600505659</v>
      </c>
      <c r="F10" s="28"/>
    </row>
    <row r="11" spans="1:6" s="29" customFormat="1">
      <c r="A11" s="60" t="s">
        <v>370</v>
      </c>
      <c r="B11" s="60">
        <v>7</v>
      </c>
      <c r="C11" s="60">
        <v>7</v>
      </c>
      <c r="D11" s="61" t="s">
        <v>371</v>
      </c>
      <c r="E11" s="61" t="s">
        <v>372</v>
      </c>
      <c r="F11" s="28"/>
    </row>
    <row r="12" spans="1:6" s="29" customFormat="1">
      <c r="A12" s="60" t="s">
        <v>317</v>
      </c>
      <c r="B12" s="60">
        <v>6</v>
      </c>
      <c r="C12" s="60">
        <v>6</v>
      </c>
      <c r="D12" s="61">
        <v>669637057</v>
      </c>
      <c r="E12" s="61">
        <v>659731444</v>
      </c>
      <c r="F12" s="28"/>
    </row>
    <row r="13" spans="1:6" s="29" customFormat="1">
      <c r="A13" s="60" t="s">
        <v>105</v>
      </c>
      <c r="B13" s="60">
        <v>2</v>
      </c>
      <c r="C13" s="60">
        <v>2</v>
      </c>
      <c r="D13" s="61" t="s">
        <v>102</v>
      </c>
      <c r="E13" s="61" t="s">
        <v>103</v>
      </c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40"/>
      <c r="C15" s="40"/>
      <c r="D15" s="41"/>
      <c r="E15" s="41"/>
      <c r="F15" s="28"/>
    </row>
    <row r="16" spans="1:6" s="29" customFormat="1" ht="12.75" customHeight="1">
      <c r="A16" s="40"/>
      <c r="B16" s="55" t="s">
        <v>455</v>
      </c>
      <c r="C16" s="56" t="s">
        <v>456</v>
      </c>
      <c r="D16" s="41"/>
      <c r="E16" s="41"/>
      <c r="F16" s="28"/>
    </row>
    <row r="17" spans="1:6" s="29" customFormat="1">
      <c r="A17" s="40"/>
      <c r="B17" s="55"/>
      <c r="C17" s="57" t="s">
        <v>457</v>
      </c>
      <c r="D17" s="41"/>
      <c r="E17" s="41"/>
      <c r="F17" s="28"/>
    </row>
    <row r="18" spans="1:6" s="29" customFormat="1">
      <c r="A18" s="40"/>
      <c r="B18" s="55"/>
      <c r="C18" s="58" t="s">
        <v>458</v>
      </c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6:B18"/>
  </mergeCells>
  <phoneticPr fontId="0" type="noConversion"/>
  <conditionalFormatting sqref="A6:E6">
    <cfRule type="expression" dxfId="539" priority="24">
      <formula>$C$6&lt;&gt;$B$6</formula>
    </cfRule>
    <cfRule type="expression" dxfId="538" priority="23">
      <formula>$C$6="NO VA HOY"</formula>
    </cfRule>
    <cfRule type="expression" dxfId="537" priority="22">
      <formula>$B$6=0</formula>
    </cfRule>
  </conditionalFormatting>
  <conditionalFormatting sqref="A7:E7">
    <cfRule type="expression" dxfId="536" priority="21">
      <formula>$C$7&lt;&gt;$B$7</formula>
    </cfRule>
    <cfRule type="expression" dxfId="535" priority="20">
      <formula>$C$7="NO VA HOY"</formula>
    </cfRule>
    <cfRule type="expression" dxfId="534" priority="19">
      <formula>$B$7=0</formula>
    </cfRule>
  </conditionalFormatting>
  <conditionalFormatting sqref="A8:E8">
    <cfRule type="expression" dxfId="533" priority="18">
      <formula>$C$8&lt;&gt;$B$8</formula>
    </cfRule>
    <cfRule type="expression" dxfId="532" priority="17">
      <formula>$C$8="NO VA HOY"</formula>
    </cfRule>
    <cfRule type="expression" dxfId="531" priority="16">
      <formula>$B$8=0</formula>
    </cfRule>
  </conditionalFormatting>
  <conditionalFormatting sqref="A9:E9">
    <cfRule type="expression" dxfId="530" priority="15">
      <formula>$C$9&lt;&gt;$B$9</formula>
    </cfRule>
    <cfRule type="expression" dxfId="529" priority="14">
      <formula>$C$9="NO VA HOY"</formula>
    </cfRule>
    <cfRule type="expression" dxfId="528" priority="13">
      <formula>$B$9=0</formula>
    </cfRule>
  </conditionalFormatting>
  <conditionalFormatting sqref="A10:E10">
    <cfRule type="expression" dxfId="527" priority="12">
      <formula>$C$10&lt;&gt;$B$10</formula>
    </cfRule>
    <cfRule type="expression" dxfId="526" priority="11">
      <formula>$C$10="NO VA HOY"</formula>
    </cfRule>
    <cfRule type="expression" dxfId="525" priority="10">
      <formula>$B$10=0</formula>
    </cfRule>
  </conditionalFormatting>
  <conditionalFormatting sqref="A11:E11">
    <cfRule type="expression" dxfId="524" priority="9">
      <formula>$C$11&lt;&gt;$B$11</formula>
    </cfRule>
    <cfRule type="expression" dxfId="523" priority="8">
      <formula>$C$11="NO VA HOY"</formula>
    </cfRule>
    <cfRule type="expression" dxfId="522" priority="7">
      <formula>$B$11=0</formula>
    </cfRule>
  </conditionalFormatting>
  <conditionalFormatting sqref="A12:E12">
    <cfRule type="expression" dxfId="521" priority="6">
      <formula>$C$12&lt;&gt;$B$12</formula>
    </cfRule>
    <cfRule type="expression" dxfId="520" priority="5">
      <formula>$C$12="NO VA HOY"</formula>
    </cfRule>
    <cfRule type="expression" dxfId="519" priority="4">
      <formula>$B$12=0</formula>
    </cfRule>
  </conditionalFormatting>
  <conditionalFormatting sqref="A13:E13">
    <cfRule type="expression" dxfId="518" priority="3">
      <formula>$C$13&lt;&gt;$B$13</formula>
    </cfRule>
    <cfRule type="expression" dxfId="517" priority="2">
      <formula>$C$13="NO VA HOY"</formula>
    </cfRule>
    <cfRule type="expression" dxfId="516" priority="1">
      <formula>$B$13=0</formula>
    </cfRule>
  </conditionalFormatting>
  <pageMargins left="0.7" right="0.7" top="0.75" bottom="0.75" header="0.3" footer="0.3"/>
  <pageSetup paperSize="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31"/>
  <sheetViews>
    <sheetView workbookViewId="0">
      <selection activeCell="A5" sqref="A5:E13"/>
    </sheetView>
  </sheetViews>
  <sheetFormatPr defaultColWidth="11.42578125" defaultRowHeight="12"/>
  <cols>
    <col min="1" max="1" width="37.425781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3"/>
      <c r="D2" s="30" t="s">
        <v>436</v>
      </c>
      <c r="E2" s="31"/>
      <c r="F2" s="31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322</v>
      </c>
      <c r="B6" s="60">
        <v>6</v>
      </c>
      <c r="C6" s="60">
        <v>6</v>
      </c>
      <c r="D6" s="61" t="s">
        <v>320</v>
      </c>
      <c r="E6" s="61" t="s">
        <v>321</v>
      </c>
      <c r="F6" s="28"/>
    </row>
    <row r="7" spans="1:6" s="29" customFormat="1">
      <c r="A7" s="60" t="s">
        <v>111</v>
      </c>
      <c r="B7" s="60">
        <v>2</v>
      </c>
      <c r="C7" s="60">
        <v>2</v>
      </c>
      <c r="D7" s="61" t="s">
        <v>112</v>
      </c>
      <c r="E7" s="61" t="s">
        <v>113</v>
      </c>
      <c r="F7" s="28"/>
    </row>
    <row r="8" spans="1:6" s="29" customFormat="1">
      <c r="A8" s="60" t="s">
        <v>266</v>
      </c>
      <c r="B8" s="60">
        <v>6</v>
      </c>
      <c r="C8" s="60">
        <v>6</v>
      </c>
      <c r="D8" s="61" t="s">
        <v>265</v>
      </c>
      <c r="E8" s="61">
        <v>610512278</v>
      </c>
      <c r="F8" s="28"/>
    </row>
    <row r="9" spans="1:6" s="29" customFormat="1">
      <c r="A9" s="60" t="s">
        <v>244</v>
      </c>
      <c r="B9" s="60">
        <v>5</v>
      </c>
      <c r="C9" s="60">
        <v>5</v>
      </c>
      <c r="D9" s="61" t="s">
        <v>245</v>
      </c>
      <c r="E9" s="61" t="s">
        <v>246</v>
      </c>
      <c r="F9" s="28"/>
    </row>
    <row r="10" spans="1:6" s="29" customFormat="1">
      <c r="A10" s="60" t="s">
        <v>254</v>
      </c>
      <c r="B10" s="60">
        <v>5</v>
      </c>
      <c r="C10" s="60">
        <v>5</v>
      </c>
      <c r="D10" s="61">
        <v>626836122</v>
      </c>
      <c r="E10" s="61" t="s">
        <v>253</v>
      </c>
      <c r="F10" s="28"/>
    </row>
    <row r="11" spans="1:6" s="29" customFormat="1">
      <c r="A11" s="60" t="s">
        <v>325</v>
      </c>
      <c r="B11" s="60">
        <v>6</v>
      </c>
      <c r="C11" s="60">
        <v>6</v>
      </c>
      <c r="D11" s="61">
        <v>659029295</v>
      </c>
      <c r="E11" s="61">
        <v>646810869</v>
      </c>
      <c r="F11" s="28"/>
    </row>
    <row r="12" spans="1:6" s="29" customFormat="1">
      <c r="A12" s="60" t="s">
        <v>129</v>
      </c>
      <c r="B12" s="60">
        <v>2</v>
      </c>
      <c r="C12" s="60">
        <v>2</v>
      </c>
      <c r="D12" s="61">
        <v>660388598</v>
      </c>
      <c r="E12" s="61">
        <v>618183862</v>
      </c>
      <c r="F12" s="28"/>
    </row>
    <row r="13" spans="1:6" s="29" customFormat="1">
      <c r="A13" s="60" t="s">
        <v>338</v>
      </c>
      <c r="B13" s="60">
        <v>7</v>
      </c>
      <c r="C13" s="60">
        <v>7</v>
      </c>
      <c r="D13" s="61" t="s">
        <v>339</v>
      </c>
      <c r="E13" s="61" t="s">
        <v>340</v>
      </c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40"/>
      <c r="C15" s="40"/>
      <c r="D15" s="41"/>
      <c r="E15" s="41"/>
      <c r="F15" s="28"/>
    </row>
    <row r="16" spans="1:6" s="29" customFormat="1">
      <c r="A16" s="40"/>
      <c r="B16" s="55" t="s">
        <v>455</v>
      </c>
      <c r="C16" s="56" t="s">
        <v>456</v>
      </c>
      <c r="D16" s="41"/>
      <c r="E16" s="41"/>
      <c r="F16" s="28"/>
    </row>
    <row r="17" spans="1:6" s="29" customFormat="1">
      <c r="A17" s="40"/>
      <c r="B17" s="55"/>
      <c r="C17" s="57" t="s">
        <v>457</v>
      </c>
      <c r="D17" s="41"/>
      <c r="E17" s="41"/>
      <c r="F17" s="28"/>
    </row>
    <row r="18" spans="1:6" s="29" customFormat="1">
      <c r="A18" s="40"/>
      <c r="B18" s="55"/>
      <c r="C18" s="58" t="s">
        <v>458</v>
      </c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6:B18"/>
  </mergeCells>
  <conditionalFormatting sqref="A6:E6">
    <cfRule type="expression" dxfId="515" priority="24">
      <formula>$C$6&lt;&gt;$B$6</formula>
    </cfRule>
    <cfRule type="expression" dxfId="514" priority="23">
      <formula>$C$6="NO VA HOY"</formula>
    </cfRule>
    <cfRule type="expression" dxfId="513" priority="22">
      <formula>$B$6=0</formula>
    </cfRule>
  </conditionalFormatting>
  <conditionalFormatting sqref="A7:E7">
    <cfRule type="expression" dxfId="512" priority="21">
      <formula>$C$7&lt;&gt;$B$7</formula>
    </cfRule>
    <cfRule type="expression" dxfId="511" priority="20">
      <formula>$C$7="NO VA HOY"</formula>
    </cfRule>
    <cfRule type="expression" dxfId="510" priority="19">
      <formula>$B$7=0</formula>
    </cfRule>
  </conditionalFormatting>
  <conditionalFormatting sqref="A8:E8">
    <cfRule type="expression" dxfId="509" priority="18">
      <formula>$C$8&lt;&gt;$B$8</formula>
    </cfRule>
    <cfRule type="expression" dxfId="508" priority="17">
      <formula>$C$8="NO VA HOY"</formula>
    </cfRule>
    <cfRule type="expression" dxfId="507" priority="16">
      <formula>$B$8=0</formula>
    </cfRule>
  </conditionalFormatting>
  <conditionalFormatting sqref="A9:E9">
    <cfRule type="expression" dxfId="506" priority="15">
      <formula>$C$9&lt;&gt;$B$9</formula>
    </cfRule>
    <cfRule type="expression" dxfId="505" priority="14">
      <formula>$C$9="NO VA HOY"</formula>
    </cfRule>
    <cfRule type="expression" dxfId="504" priority="13">
      <formula>$B$9=0</formula>
    </cfRule>
  </conditionalFormatting>
  <conditionalFormatting sqref="A10:E10">
    <cfRule type="expression" dxfId="503" priority="12">
      <formula>$C$10&lt;&gt;$B$10</formula>
    </cfRule>
    <cfRule type="expression" dxfId="502" priority="11">
      <formula>$C$10="NO VA HOY"</formula>
    </cfRule>
    <cfRule type="expression" dxfId="501" priority="10">
      <formula>$B$10=0</formula>
    </cfRule>
  </conditionalFormatting>
  <conditionalFormatting sqref="A11:E11">
    <cfRule type="expression" dxfId="500" priority="9">
      <formula>$C$11&lt;&gt;$B$11</formula>
    </cfRule>
    <cfRule type="expression" dxfId="499" priority="8">
      <formula>$C$11="NO VA HOY"</formula>
    </cfRule>
    <cfRule type="expression" dxfId="498" priority="7">
      <formula>$B$11=0</formula>
    </cfRule>
  </conditionalFormatting>
  <conditionalFormatting sqref="A12:E12">
    <cfRule type="expression" dxfId="497" priority="6">
      <formula>$C$12&lt;&gt;$B$12</formula>
    </cfRule>
    <cfRule type="expression" dxfId="496" priority="5">
      <formula>$C$12="NO VA HOY"</formula>
    </cfRule>
    <cfRule type="expression" dxfId="495" priority="4">
      <formula>$B$12=0</formula>
    </cfRule>
  </conditionalFormatting>
  <conditionalFormatting sqref="A13:E13">
    <cfRule type="expression" dxfId="494" priority="3">
      <formula>$C$13&lt;&gt;$B$13</formula>
    </cfRule>
    <cfRule type="expression" dxfId="493" priority="2">
      <formula>$C$13="NO VA HOY"</formula>
    </cfRule>
    <cfRule type="expression" dxfId="492" priority="1">
      <formula>$B$13=0</formula>
    </cfRule>
  </conditionalFormatting>
  <pageMargins left="0.7" right="0.7" top="0.75" bottom="0.75" header="0.3" footer="0.3"/>
  <pageSetup paperSize="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F231"/>
  <sheetViews>
    <sheetView workbookViewId="0">
      <selection activeCell="A5" sqref="A5:E17"/>
    </sheetView>
  </sheetViews>
  <sheetFormatPr defaultColWidth="11.42578125" defaultRowHeight="12"/>
  <cols>
    <col min="1" max="1" width="33" style="17" bestFit="1" customWidth="1"/>
    <col min="2" max="2" width="11.42578125" style="17" bestFit="1" customWidth="1"/>
    <col min="3" max="3" width="15.42578125" style="17" bestFit="1" customWidth="1"/>
    <col min="4" max="5" width="31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32" t="s">
        <v>437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44</v>
      </c>
      <c r="B6" s="60">
        <v>1</v>
      </c>
      <c r="C6" s="60">
        <v>1</v>
      </c>
      <c r="D6" s="61" t="s">
        <v>45</v>
      </c>
      <c r="E6" s="61" t="s">
        <v>46</v>
      </c>
      <c r="F6" s="28"/>
    </row>
    <row r="7" spans="1:6" s="29" customFormat="1">
      <c r="A7" s="60" t="s">
        <v>8</v>
      </c>
      <c r="B7" s="60">
        <v>1</v>
      </c>
      <c r="C7" s="60">
        <v>1</v>
      </c>
      <c r="D7" s="61">
        <v>669862156</v>
      </c>
      <c r="E7" s="61">
        <v>629238527</v>
      </c>
      <c r="F7" s="28"/>
    </row>
    <row r="8" spans="1:6" s="29" customFormat="1">
      <c r="A8" s="60" t="s">
        <v>243</v>
      </c>
      <c r="B8" s="60">
        <v>5</v>
      </c>
      <c r="C8" s="60">
        <v>5</v>
      </c>
      <c r="D8" s="61" t="s">
        <v>241</v>
      </c>
      <c r="E8" s="61" t="s">
        <v>242</v>
      </c>
      <c r="F8" s="28"/>
    </row>
    <row r="9" spans="1:6" s="29" customFormat="1">
      <c r="A9" s="60" t="s">
        <v>298</v>
      </c>
      <c r="B9" s="60">
        <v>6</v>
      </c>
      <c r="C9" s="60">
        <v>6</v>
      </c>
      <c r="D9" s="61" t="s">
        <v>299</v>
      </c>
      <c r="E9" s="61" t="s">
        <v>300</v>
      </c>
      <c r="F9" s="28"/>
    </row>
    <row r="10" spans="1:6" s="29" customFormat="1">
      <c r="A10" s="60" t="s">
        <v>271</v>
      </c>
      <c r="B10" s="60">
        <v>6</v>
      </c>
      <c r="C10" s="60">
        <v>6</v>
      </c>
      <c r="D10" s="61" t="s">
        <v>268</v>
      </c>
      <c r="E10" s="61" t="s">
        <v>269</v>
      </c>
      <c r="F10" s="28"/>
    </row>
    <row r="11" spans="1:6" s="29" customFormat="1">
      <c r="A11" s="60" t="s">
        <v>159</v>
      </c>
      <c r="B11" s="60">
        <v>3</v>
      </c>
      <c r="C11" s="60">
        <v>3</v>
      </c>
      <c r="D11" s="61" t="s">
        <v>157</v>
      </c>
      <c r="E11" s="61" t="s">
        <v>158</v>
      </c>
      <c r="F11" s="28"/>
    </row>
    <row r="12" spans="1:6" s="29" customFormat="1">
      <c r="A12" s="60" t="s">
        <v>301</v>
      </c>
      <c r="B12" s="60">
        <v>6</v>
      </c>
      <c r="C12" s="60">
        <v>6</v>
      </c>
      <c r="D12" s="61">
        <v>666892346</v>
      </c>
      <c r="E12" s="61">
        <v>677574995</v>
      </c>
      <c r="F12" s="28"/>
    </row>
    <row r="13" spans="1:6" s="29" customFormat="1">
      <c r="A13" s="60" t="s">
        <v>187</v>
      </c>
      <c r="B13" s="60">
        <v>4</v>
      </c>
      <c r="C13" s="60">
        <v>4</v>
      </c>
      <c r="D13" s="61" t="s">
        <v>188</v>
      </c>
      <c r="E13" s="61" t="s">
        <v>189</v>
      </c>
      <c r="F13" s="28"/>
    </row>
    <row r="14" spans="1:6" s="29" customFormat="1">
      <c r="A14" s="60" t="s">
        <v>175</v>
      </c>
      <c r="B14" s="60">
        <v>4</v>
      </c>
      <c r="C14" s="60">
        <v>4</v>
      </c>
      <c r="D14" s="61" t="s">
        <v>176</v>
      </c>
      <c r="E14" s="61" t="s">
        <v>177</v>
      </c>
      <c r="F14" s="28"/>
    </row>
    <row r="15" spans="1:6" s="29" customFormat="1">
      <c r="A15" s="60" t="s">
        <v>276</v>
      </c>
      <c r="B15" s="60">
        <v>6</v>
      </c>
      <c r="C15" s="60">
        <v>6</v>
      </c>
      <c r="D15" s="61" t="s">
        <v>277</v>
      </c>
      <c r="E15" s="61">
        <v>652179139</v>
      </c>
      <c r="F15" s="28"/>
    </row>
    <row r="16" spans="1:6" s="29" customFormat="1">
      <c r="A16" s="60" t="s">
        <v>191</v>
      </c>
      <c r="B16" s="60">
        <v>4</v>
      </c>
      <c r="C16" s="60">
        <v>4</v>
      </c>
      <c r="D16" s="61" t="s">
        <v>192</v>
      </c>
      <c r="E16" s="61" t="s">
        <v>193</v>
      </c>
      <c r="F16" s="28"/>
    </row>
    <row r="17" spans="1:6" s="29" customFormat="1">
      <c r="A17" s="60" t="s">
        <v>405</v>
      </c>
      <c r="B17" s="60">
        <v>8</v>
      </c>
      <c r="C17" s="60">
        <v>8</v>
      </c>
      <c r="D17" s="61" t="s">
        <v>406</v>
      </c>
      <c r="E17" s="61" t="s">
        <v>407</v>
      </c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55" t="s">
        <v>455</v>
      </c>
      <c r="C20" s="56" t="s">
        <v>456</v>
      </c>
      <c r="D20" s="41"/>
      <c r="E20" s="41"/>
      <c r="F20" s="28"/>
    </row>
    <row r="21" spans="1:6" s="29" customFormat="1">
      <c r="A21" s="40"/>
      <c r="B21" s="55"/>
      <c r="C21" s="57" t="s">
        <v>457</v>
      </c>
      <c r="D21" s="41"/>
      <c r="E21" s="41"/>
      <c r="F21" s="28"/>
    </row>
    <row r="22" spans="1:6" s="29" customFormat="1">
      <c r="A22" s="40"/>
      <c r="B22" s="55"/>
      <c r="C22" s="58" t="s">
        <v>458</v>
      </c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20:B22"/>
  </mergeCells>
  <conditionalFormatting sqref="A6:E6">
    <cfRule type="expression" dxfId="491" priority="36">
      <formula>$C$6&lt;&gt;$B$6</formula>
    </cfRule>
    <cfRule type="expression" dxfId="490" priority="35">
      <formula>$C$6="NO VA HOY"</formula>
    </cfRule>
    <cfRule type="expression" dxfId="489" priority="34">
      <formula>$B$6=0</formula>
    </cfRule>
  </conditionalFormatting>
  <conditionalFormatting sqref="A7:E7">
    <cfRule type="expression" dxfId="488" priority="33">
      <formula>$C$7&lt;&gt;$B$7</formula>
    </cfRule>
    <cfRule type="expression" dxfId="487" priority="32">
      <formula>$C$7="NO VA HOY"</formula>
    </cfRule>
    <cfRule type="expression" dxfId="486" priority="31">
      <formula>$B$7=0</formula>
    </cfRule>
  </conditionalFormatting>
  <conditionalFormatting sqref="A8:E8">
    <cfRule type="expression" dxfId="485" priority="30">
      <formula>$C$8&lt;&gt;$B$8</formula>
    </cfRule>
    <cfRule type="expression" dxfId="484" priority="29">
      <formula>$C$8="NO VA HOY"</formula>
    </cfRule>
    <cfRule type="expression" dxfId="483" priority="28">
      <formula>$B$8=0</formula>
    </cfRule>
  </conditionalFormatting>
  <conditionalFormatting sqref="A9:E9">
    <cfRule type="expression" dxfId="482" priority="27">
      <formula>$C$9&lt;&gt;$B$9</formula>
    </cfRule>
    <cfRule type="expression" dxfId="481" priority="26">
      <formula>$C$9="NO VA HOY"</formula>
    </cfRule>
    <cfRule type="expression" dxfId="480" priority="25">
      <formula>$B$9=0</formula>
    </cfRule>
  </conditionalFormatting>
  <conditionalFormatting sqref="A10:E10">
    <cfRule type="expression" dxfId="479" priority="24">
      <formula>$C$10&lt;&gt;$B$10</formula>
    </cfRule>
    <cfRule type="expression" dxfId="478" priority="23">
      <formula>$C$10="NO VA HOY"</formula>
    </cfRule>
    <cfRule type="expression" dxfId="477" priority="22">
      <formula>$B$10=0</formula>
    </cfRule>
  </conditionalFormatting>
  <conditionalFormatting sqref="A11:E11">
    <cfRule type="expression" dxfId="476" priority="21">
      <formula>$C$11&lt;&gt;$B$11</formula>
    </cfRule>
    <cfRule type="expression" dxfId="475" priority="20">
      <formula>$C$11="NO VA HOY"</formula>
    </cfRule>
    <cfRule type="expression" dxfId="474" priority="19">
      <formula>$B$11=0</formula>
    </cfRule>
  </conditionalFormatting>
  <conditionalFormatting sqref="A12:E12">
    <cfRule type="expression" dxfId="473" priority="18">
      <formula>$C$12&lt;&gt;$B$12</formula>
    </cfRule>
    <cfRule type="expression" dxfId="472" priority="17">
      <formula>$C$12="NO VA HOY"</formula>
    </cfRule>
    <cfRule type="expression" dxfId="471" priority="16">
      <formula>$B$12=0</formula>
    </cfRule>
  </conditionalFormatting>
  <conditionalFormatting sqref="A13:E13">
    <cfRule type="expression" dxfId="470" priority="15">
      <formula>$C$13&lt;&gt;$B$13</formula>
    </cfRule>
    <cfRule type="expression" dxfId="469" priority="14">
      <formula>$C$13="NO VA HOY"</formula>
    </cfRule>
    <cfRule type="expression" dxfId="468" priority="13">
      <formula>$B$13=0</formula>
    </cfRule>
  </conditionalFormatting>
  <conditionalFormatting sqref="A14:E14">
    <cfRule type="expression" dxfId="467" priority="12">
      <formula>$C$14&lt;&gt;$B$14</formula>
    </cfRule>
    <cfRule type="expression" dxfId="466" priority="11">
      <formula>$C$14="NO VA HOY"</formula>
    </cfRule>
    <cfRule type="expression" dxfId="465" priority="10">
      <formula>$B$14=0</formula>
    </cfRule>
  </conditionalFormatting>
  <conditionalFormatting sqref="A15:E15">
    <cfRule type="expression" dxfId="464" priority="9">
      <formula>$C$15&lt;&gt;$B$15</formula>
    </cfRule>
    <cfRule type="expression" dxfId="463" priority="8">
      <formula>$C$15="NO VA HOY"</formula>
    </cfRule>
    <cfRule type="expression" dxfId="462" priority="7">
      <formula>$B$15=0</formula>
    </cfRule>
  </conditionalFormatting>
  <conditionalFormatting sqref="A16:E16">
    <cfRule type="expression" dxfId="461" priority="6">
      <formula>$C$16&lt;&gt;$B$16</formula>
    </cfRule>
    <cfRule type="expression" dxfId="460" priority="5">
      <formula>$C$16="NO VA HOY"</formula>
    </cfRule>
    <cfRule type="expression" dxfId="459" priority="4">
      <formula>$B$16=0</formula>
    </cfRule>
  </conditionalFormatting>
  <conditionalFormatting sqref="A17:E17">
    <cfRule type="expression" dxfId="458" priority="3">
      <formula>$C$17&lt;&gt;$B$17</formula>
    </cfRule>
    <cfRule type="expression" dxfId="457" priority="2">
      <formula>$C$17="NO VA HOY"</formula>
    </cfRule>
    <cfRule type="expression" dxfId="456" priority="1">
      <formula>$B$17=0</formula>
    </cfRule>
  </conditionalFormatting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F231"/>
  <sheetViews>
    <sheetView workbookViewId="0">
      <selection activeCell="A5" sqref="A5:E13"/>
    </sheetView>
  </sheetViews>
  <sheetFormatPr defaultColWidth="11.42578125" defaultRowHeight="12"/>
  <cols>
    <col min="1" max="1" width="33.285156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28515625" style="16" customWidth="1"/>
    <col min="7" max="9" width="10.28515625" style="17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438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250</v>
      </c>
      <c r="B6" s="60">
        <v>5</v>
      </c>
      <c r="C6" s="60">
        <v>5</v>
      </c>
      <c r="D6" s="61">
        <v>670668441</v>
      </c>
      <c r="E6" s="61">
        <v>637858942</v>
      </c>
      <c r="F6" s="28"/>
    </row>
    <row r="7" spans="1:6" s="29" customFormat="1">
      <c r="A7" s="60" t="s">
        <v>83</v>
      </c>
      <c r="B7" s="60">
        <v>2</v>
      </c>
      <c r="C7" s="60">
        <v>2</v>
      </c>
      <c r="D7" s="61" t="s">
        <v>80</v>
      </c>
      <c r="E7" s="61" t="s">
        <v>81</v>
      </c>
      <c r="F7" s="28"/>
    </row>
    <row r="8" spans="1:6" s="29" customFormat="1">
      <c r="A8" s="60" t="s">
        <v>91</v>
      </c>
      <c r="B8" s="60">
        <v>2</v>
      </c>
      <c r="C8" s="60">
        <v>2</v>
      </c>
      <c r="D8" s="61">
        <v>660058330</v>
      </c>
      <c r="E8" s="61">
        <v>630282296</v>
      </c>
    </row>
    <row r="9" spans="1:6" s="29" customFormat="1">
      <c r="A9" s="62" t="s">
        <v>92</v>
      </c>
      <c r="B9" s="62">
        <v>2</v>
      </c>
      <c r="C9" s="60">
        <v>2</v>
      </c>
      <c r="D9" s="61">
        <v>660058330</v>
      </c>
      <c r="E9" s="61">
        <v>630282296</v>
      </c>
      <c r="F9" s="28"/>
    </row>
    <row r="10" spans="1:6" s="29" customFormat="1">
      <c r="A10" s="62" t="s">
        <v>423</v>
      </c>
      <c r="B10" s="62">
        <v>8</v>
      </c>
      <c r="C10" s="60">
        <v>8</v>
      </c>
      <c r="D10" s="61" t="s">
        <v>424</v>
      </c>
      <c r="E10" s="61" t="s">
        <v>425</v>
      </c>
      <c r="F10" s="28"/>
    </row>
    <row r="11" spans="1:6" s="29" customFormat="1">
      <c r="A11" s="62" t="s">
        <v>400</v>
      </c>
      <c r="B11" s="62">
        <v>8</v>
      </c>
      <c r="C11" s="60">
        <v>8</v>
      </c>
      <c r="D11" s="61" t="s">
        <v>401</v>
      </c>
      <c r="E11" s="61" t="s">
        <v>402</v>
      </c>
      <c r="F11" s="28"/>
    </row>
    <row r="12" spans="1:6" s="29" customFormat="1">
      <c r="A12" s="60" t="s">
        <v>126</v>
      </c>
      <c r="B12" s="62">
        <v>2</v>
      </c>
      <c r="C12" s="60">
        <v>2</v>
      </c>
      <c r="D12" s="61">
        <v>660388598</v>
      </c>
      <c r="E12" s="61">
        <v>618183862</v>
      </c>
      <c r="F12" s="28"/>
    </row>
    <row r="13" spans="1:6" s="29" customFormat="1">
      <c r="A13" s="60" t="s">
        <v>173</v>
      </c>
      <c r="B13" s="62">
        <v>3</v>
      </c>
      <c r="C13" s="60">
        <v>3</v>
      </c>
      <c r="D13" s="61" t="s">
        <v>171</v>
      </c>
      <c r="E13" s="61" t="s">
        <v>172</v>
      </c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42"/>
      <c r="C15" s="40"/>
      <c r="D15" s="41"/>
      <c r="E15" s="41"/>
      <c r="F15" s="28"/>
    </row>
    <row r="16" spans="1:6" s="29" customFormat="1">
      <c r="A16" s="40"/>
      <c r="B16" s="55" t="s">
        <v>455</v>
      </c>
      <c r="C16" s="56" t="s">
        <v>456</v>
      </c>
      <c r="D16" s="41"/>
      <c r="E16" s="41"/>
      <c r="F16" s="28"/>
    </row>
    <row r="17" spans="1:6" s="29" customFormat="1">
      <c r="A17" s="40"/>
      <c r="B17" s="55"/>
      <c r="C17" s="57" t="s">
        <v>457</v>
      </c>
      <c r="D17" s="41"/>
      <c r="E17" s="41"/>
      <c r="F17" s="28"/>
    </row>
    <row r="18" spans="1:6" s="29" customFormat="1">
      <c r="A18" s="40"/>
      <c r="B18" s="55"/>
      <c r="C18" s="58" t="s">
        <v>458</v>
      </c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6:B18"/>
  </mergeCells>
  <conditionalFormatting sqref="A6:E6">
    <cfRule type="expression" dxfId="455" priority="24">
      <formula>$C$6&lt;&gt;$B$6</formula>
    </cfRule>
    <cfRule type="expression" dxfId="454" priority="23">
      <formula>$C$6="NO VA HOY"</formula>
    </cfRule>
    <cfRule type="expression" dxfId="453" priority="22">
      <formula>$B$6=0</formula>
    </cfRule>
  </conditionalFormatting>
  <conditionalFormatting sqref="A7:E7">
    <cfRule type="expression" dxfId="452" priority="21">
      <formula>$C$7&lt;&gt;$B$7</formula>
    </cfRule>
    <cfRule type="expression" dxfId="451" priority="20">
      <formula>$C$7="NO VA HOY"</formula>
    </cfRule>
    <cfRule type="expression" dxfId="450" priority="19">
      <formula>$B$7=0</formula>
    </cfRule>
  </conditionalFormatting>
  <conditionalFormatting sqref="A8:E8">
    <cfRule type="expression" dxfId="449" priority="18">
      <formula>$C$8&lt;&gt;$B$8</formula>
    </cfRule>
    <cfRule type="expression" dxfId="448" priority="17">
      <formula>$C$8="NO VA HOY"</formula>
    </cfRule>
    <cfRule type="expression" dxfId="447" priority="16">
      <formula>$B$8=0</formula>
    </cfRule>
  </conditionalFormatting>
  <conditionalFormatting sqref="A9:E9">
    <cfRule type="expression" dxfId="446" priority="15">
      <formula>$C$9&lt;&gt;$B$9</formula>
    </cfRule>
    <cfRule type="expression" dxfId="445" priority="14">
      <formula>$C$9="NO VA HOY"</formula>
    </cfRule>
    <cfRule type="expression" dxfId="444" priority="13">
      <formula>$B$9=0</formula>
    </cfRule>
  </conditionalFormatting>
  <conditionalFormatting sqref="A10:E10">
    <cfRule type="expression" dxfId="443" priority="12">
      <formula>$C$10&lt;&gt;$B$10</formula>
    </cfRule>
    <cfRule type="expression" dxfId="442" priority="11">
      <formula>$C$10="NO VA HOY"</formula>
    </cfRule>
    <cfRule type="expression" dxfId="441" priority="10">
      <formula>$B$10=0</formula>
    </cfRule>
  </conditionalFormatting>
  <conditionalFormatting sqref="A11:E11">
    <cfRule type="expression" dxfId="440" priority="9">
      <formula>$C$11&lt;&gt;$B$11</formula>
    </cfRule>
    <cfRule type="expression" dxfId="439" priority="8">
      <formula>$C$11="NO VA HOY"</formula>
    </cfRule>
    <cfRule type="expression" dxfId="438" priority="7">
      <formula>$B$11=0</formula>
    </cfRule>
  </conditionalFormatting>
  <conditionalFormatting sqref="A12:E12">
    <cfRule type="expression" dxfId="437" priority="6">
      <formula>$C$12&lt;&gt;$B$12</formula>
    </cfRule>
    <cfRule type="expression" dxfId="436" priority="5">
      <formula>$C$12="NO VA HOY"</formula>
    </cfRule>
    <cfRule type="expression" dxfId="435" priority="4">
      <formula>$B$12=0</formula>
    </cfRule>
  </conditionalFormatting>
  <conditionalFormatting sqref="A13:E13">
    <cfRule type="expression" dxfId="434" priority="3">
      <formula>$C$13&lt;&gt;$B$13</formula>
    </cfRule>
    <cfRule type="expression" dxfId="433" priority="2">
      <formula>$C$13="NO VA HOY"</formula>
    </cfRule>
    <cfRule type="expression" dxfId="432" priority="1">
      <formula>$B$13=0</formula>
    </cfRule>
  </conditionalFormatting>
  <pageMargins left="0.7" right="0.7" top="0.75" bottom="0.75" header="0.3" footer="0.3"/>
  <pageSetup paperSize="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231"/>
  <sheetViews>
    <sheetView zoomScaleNormal="100" workbookViewId="0">
      <selection activeCell="A5" sqref="A5:E16"/>
    </sheetView>
  </sheetViews>
  <sheetFormatPr defaultColWidth="11.42578125" defaultRowHeight="12"/>
  <cols>
    <col min="1" max="1" width="36.710937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58</v>
      </c>
      <c r="B6" s="60">
        <v>1</v>
      </c>
      <c r="C6" s="60">
        <v>1</v>
      </c>
      <c r="D6" s="60" t="s">
        <v>59</v>
      </c>
      <c r="E6" s="60">
        <v>675503519</v>
      </c>
    </row>
    <row r="7" spans="1:6" s="29" customFormat="1">
      <c r="A7" s="60" t="s">
        <v>134</v>
      </c>
      <c r="B7" s="60">
        <v>3</v>
      </c>
      <c r="C7" s="60">
        <v>3</v>
      </c>
      <c r="D7" s="60" t="s">
        <v>135</v>
      </c>
      <c r="E7" s="60" t="s">
        <v>136</v>
      </c>
    </row>
    <row r="8" spans="1:6" s="29" customFormat="1">
      <c r="A8" s="60" t="s">
        <v>178</v>
      </c>
      <c r="B8" s="62">
        <v>4</v>
      </c>
      <c r="C8" s="60">
        <v>4</v>
      </c>
      <c r="D8" s="60" t="s">
        <v>176</v>
      </c>
      <c r="E8" s="60" t="s">
        <v>177</v>
      </c>
    </row>
    <row r="9" spans="1:6" s="29" customFormat="1">
      <c r="A9" s="60" t="s">
        <v>16</v>
      </c>
      <c r="B9" s="62">
        <v>1</v>
      </c>
      <c r="C9" s="60">
        <v>1</v>
      </c>
      <c r="D9" s="60" t="s">
        <v>17</v>
      </c>
      <c r="E9" s="60" t="s">
        <v>18</v>
      </c>
    </row>
    <row r="10" spans="1:6" s="29" customFormat="1">
      <c r="A10" s="60" t="s">
        <v>96</v>
      </c>
      <c r="B10" s="62">
        <v>2</v>
      </c>
      <c r="C10" s="60">
        <v>2</v>
      </c>
      <c r="D10" s="60" t="s">
        <v>94</v>
      </c>
      <c r="E10" s="60" t="s">
        <v>95</v>
      </c>
    </row>
    <row r="11" spans="1:6" s="29" customFormat="1">
      <c r="A11" s="60" t="s">
        <v>248</v>
      </c>
      <c r="B11" s="62">
        <v>5</v>
      </c>
      <c r="C11" s="60">
        <v>5</v>
      </c>
      <c r="D11" s="60">
        <v>671640838</v>
      </c>
      <c r="E11" s="60">
        <v>600478347</v>
      </c>
    </row>
    <row r="12" spans="1:6" s="29" customFormat="1">
      <c r="A12" s="60" t="s">
        <v>98</v>
      </c>
      <c r="B12" s="60">
        <v>2</v>
      </c>
      <c r="C12" s="60">
        <v>2</v>
      </c>
      <c r="D12" s="60" t="s">
        <v>99</v>
      </c>
      <c r="E12" s="60" t="s">
        <v>100</v>
      </c>
    </row>
    <row r="13" spans="1:6" s="29" customFormat="1">
      <c r="A13" s="60" t="s">
        <v>368</v>
      </c>
      <c r="B13" s="60">
        <v>7</v>
      </c>
      <c r="C13" s="60">
        <v>7</v>
      </c>
      <c r="D13" s="60" t="s">
        <v>365</v>
      </c>
      <c r="E13" s="60" t="s">
        <v>366</v>
      </c>
    </row>
    <row r="14" spans="1:6" s="29" customFormat="1">
      <c r="A14" s="60" t="s">
        <v>106</v>
      </c>
      <c r="B14" s="60">
        <v>2</v>
      </c>
      <c r="C14" s="60">
        <v>2</v>
      </c>
      <c r="D14" s="60" t="s">
        <v>107</v>
      </c>
      <c r="E14" s="60" t="s">
        <v>108</v>
      </c>
    </row>
    <row r="15" spans="1:6" s="29" customFormat="1">
      <c r="A15" s="60" t="s">
        <v>214</v>
      </c>
      <c r="B15" s="60">
        <v>4</v>
      </c>
      <c r="C15" s="60">
        <v>4</v>
      </c>
      <c r="D15" s="60">
        <v>630826376</v>
      </c>
      <c r="E15" s="60">
        <v>646207822</v>
      </c>
    </row>
    <row r="16" spans="1:6" s="29" customFormat="1">
      <c r="A16" s="60" t="s">
        <v>343</v>
      </c>
      <c r="B16" s="60">
        <v>7</v>
      </c>
      <c r="C16" s="60">
        <v>7</v>
      </c>
      <c r="D16" s="60">
        <v>687414884</v>
      </c>
      <c r="E16" s="60">
        <v>677308566</v>
      </c>
    </row>
    <row r="17" spans="1:6" s="29" customFormat="1">
      <c r="A17" s="40"/>
      <c r="B17" s="40"/>
      <c r="C17" s="40"/>
      <c r="D17" s="40"/>
      <c r="E17" s="40"/>
    </row>
    <row r="18" spans="1:6" s="29" customFormat="1">
      <c r="A18" s="40"/>
      <c r="B18" s="40"/>
      <c r="C18" s="40"/>
      <c r="D18" s="40"/>
      <c r="E18" s="40"/>
    </row>
    <row r="19" spans="1:6" s="29" customFormat="1">
      <c r="A19" s="40"/>
      <c r="B19" s="55" t="s">
        <v>455</v>
      </c>
      <c r="C19" s="56" t="s">
        <v>456</v>
      </c>
      <c r="D19" s="40"/>
      <c r="E19" s="40"/>
    </row>
    <row r="20" spans="1:6" s="29" customFormat="1">
      <c r="A20" s="40"/>
      <c r="B20" s="55"/>
      <c r="C20" s="57" t="s">
        <v>457</v>
      </c>
      <c r="D20" s="40"/>
      <c r="E20" s="40"/>
    </row>
    <row r="21" spans="1:6" s="29" customFormat="1">
      <c r="A21" s="40"/>
      <c r="B21" s="55"/>
      <c r="C21" s="58" t="s">
        <v>458</v>
      </c>
      <c r="D21" s="40"/>
      <c r="E21" s="40"/>
    </row>
    <row r="22" spans="1:6" s="29" customFormat="1">
      <c r="A22" s="40"/>
      <c r="B22" s="40"/>
      <c r="C22" s="40"/>
      <c r="D22" s="40"/>
      <c r="E22" s="40"/>
    </row>
    <row r="23" spans="1:6" s="29" customFormat="1">
      <c r="A23" s="40"/>
      <c r="B23" s="40"/>
      <c r="C23" s="40"/>
      <c r="D23" s="40"/>
      <c r="E23" s="40"/>
    </row>
    <row r="24" spans="1:6" s="29" customFormat="1">
      <c r="A24" s="40"/>
      <c r="B24" s="40"/>
      <c r="C24" s="40"/>
      <c r="D24" s="40"/>
      <c r="E24" s="40"/>
    </row>
    <row r="25" spans="1:6" s="29" customFormat="1">
      <c r="A25" s="40"/>
      <c r="B25" s="40"/>
      <c r="C25" s="40"/>
      <c r="D25" s="40"/>
      <c r="E25" s="40"/>
    </row>
    <row r="26" spans="1:6" s="29" customFormat="1">
      <c r="A26" s="40"/>
      <c r="B26" s="40"/>
      <c r="C26" s="40"/>
      <c r="D26" s="40"/>
      <c r="E26" s="40"/>
    </row>
    <row r="27" spans="1:6" s="29" customFormat="1">
      <c r="A27" s="40"/>
      <c r="B27" s="40"/>
      <c r="C27" s="40"/>
      <c r="D27" s="40"/>
      <c r="E27" s="40"/>
    </row>
    <row r="28" spans="1:6" s="29" customFormat="1">
      <c r="A28" s="40"/>
      <c r="B28" s="40"/>
      <c r="C28" s="40"/>
      <c r="D28" s="40"/>
      <c r="E28" s="40"/>
    </row>
    <row r="29" spans="1:6" s="29" customFormat="1">
      <c r="A29" s="40"/>
      <c r="B29" s="40"/>
      <c r="C29" s="40"/>
      <c r="D29" s="40"/>
      <c r="E29" s="40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9:B21"/>
  </mergeCells>
  <conditionalFormatting sqref="A6:E6">
    <cfRule type="expression" dxfId="431" priority="33">
      <formula>$C$6&lt;&gt;$B$6</formula>
    </cfRule>
    <cfRule type="expression" dxfId="430" priority="32">
      <formula>$C$6="NO VA HOY"</formula>
    </cfRule>
    <cfRule type="expression" dxfId="429" priority="31">
      <formula>$B$6=0</formula>
    </cfRule>
  </conditionalFormatting>
  <conditionalFormatting sqref="A7:E7">
    <cfRule type="expression" dxfId="428" priority="30">
      <formula>$C$7&lt;&gt;$B$7</formula>
    </cfRule>
    <cfRule type="expression" dxfId="427" priority="29">
      <formula>$C$7="NO VA HOY"</formula>
    </cfRule>
    <cfRule type="expression" dxfId="426" priority="28">
      <formula>$B$7=0</formula>
    </cfRule>
  </conditionalFormatting>
  <conditionalFormatting sqref="A8:E8">
    <cfRule type="expression" dxfId="425" priority="27">
      <formula>$C$8&lt;&gt;$B$8</formula>
    </cfRule>
    <cfRule type="expression" dxfId="424" priority="26">
      <formula>$C$8="NO VA HOY"</formula>
    </cfRule>
    <cfRule type="expression" dxfId="423" priority="25">
      <formula>$B$8=0</formula>
    </cfRule>
  </conditionalFormatting>
  <conditionalFormatting sqref="A9:E9">
    <cfRule type="expression" dxfId="422" priority="24">
      <formula>$C$9&lt;&gt;$B$9</formula>
    </cfRule>
    <cfRule type="expression" dxfId="421" priority="23">
      <formula>$C$9="NO VA HOY"</formula>
    </cfRule>
    <cfRule type="expression" dxfId="420" priority="22">
      <formula>$B$9=0</formula>
    </cfRule>
  </conditionalFormatting>
  <conditionalFormatting sqref="A10:E10">
    <cfRule type="expression" dxfId="419" priority="21">
      <formula>$C$10&lt;&gt;$B$10</formula>
    </cfRule>
    <cfRule type="expression" dxfId="418" priority="20">
      <formula>$C$10="NO VA HOY"</formula>
    </cfRule>
    <cfRule type="expression" dxfId="417" priority="19">
      <formula>$B$10=0</formula>
    </cfRule>
  </conditionalFormatting>
  <conditionalFormatting sqref="A11:E11">
    <cfRule type="expression" dxfId="416" priority="18">
      <formula>$C$11&lt;&gt;$B$11</formula>
    </cfRule>
    <cfRule type="expression" dxfId="415" priority="17">
      <formula>$C$11="NO VA HOY"</formula>
    </cfRule>
    <cfRule type="expression" dxfId="414" priority="16">
      <formula>$B$11=0</formula>
    </cfRule>
  </conditionalFormatting>
  <conditionalFormatting sqref="A12:E12">
    <cfRule type="expression" dxfId="413" priority="15">
      <formula>$C$12&lt;&gt;$B$12</formula>
    </cfRule>
    <cfRule type="expression" dxfId="412" priority="14">
      <formula>$C$12="NO VA HOY"</formula>
    </cfRule>
    <cfRule type="expression" dxfId="411" priority="13">
      <formula>$B$12=0</formula>
    </cfRule>
  </conditionalFormatting>
  <conditionalFormatting sqref="A13:E13">
    <cfRule type="expression" dxfId="410" priority="12">
      <formula>$C$13&lt;&gt;$B$13</formula>
    </cfRule>
    <cfRule type="expression" dxfId="409" priority="11">
      <formula>$C$13="NO VA HOY"</formula>
    </cfRule>
    <cfRule type="expression" dxfId="408" priority="10">
      <formula>$B$13=0</formula>
    </cfRule>
  </conditionalFormatting>
  <conditionalFormatting sqref="A14:E14">
    <cfRule type="expression" dxfId="407" priority="9">
      <formula>$C$14&lt;&gt;$B$14</formula>
    </cfRule>
    <cfRule type="expression" dxfId="406" priority="8">
      <formula>$C$14="NO VA HOY"</formula>
    </cfRule>
    <cfRule type="expression" dxfId="405" priority="7">
      <formula>$B$14=0</formula>
    </cfRule>
  </conditionalFormatting>
  <conditionalFormatting sqref="A15:E15">
    <cfRule type="expression" dxfId="404" priority="6">
      <formula>$C$15&lt;&gt;$B$15</formula>
    </cfRule>
    <cfRule type="expression" dxfId="403" priority="5">
      <formula>$C$15="NO VA HOY"</formula>
    </cfRule>
    <cfRule type="expression" dxfId="402" priority="4">
      <formula>$B$15=0</formula>
    </cfRule>
  </conditionalFormatting>
  <conditionalFormatting sqref="A16:E16">
    <cfRule type="expression" dxfId="401" priority="3">
      <formula>$C$16&lt;&gt;$B$16</formula>
    </cfRule>
    <cfRule type="expression" dxfId="400" priority="2">
      <formula>$C$16="NO VA HOY"</formula>
    </cfRule>
    <cfRule type="expression" dxfId="399" priority="1">
      <formula>$B$16=0</formula>
    </cfRule>
  </conditionalFormatting>
  <pageMargins left="0.7" right="0.7" top="0.75" bottom="0.75" header="0.3" footer="0.3"/>
  <pageSetup paperSize="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F231"/>
  <sheetViews>
    <sheetView workbookViewId="0">
      <selection activeCell="A5" sqref="A5:E14"/>
    </sheetView>
  </sheetViews>
  <sheetFormatPr defaultColWidth="11.42578125" defaultRowHeight="12"/>
  <cols>
    <col min="1" max="1" width="38.425781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440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 t="s">
        <v>441</v>
      </c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345</v>
      </c>
      <c r="B6" s="60">
        <v>7</v>
      </c>
      <c r="C6" s="60">
        <v>7</v>
      </c>
      <c r="D6" s="61" t="s">
        <v>346</v>
      </c>
      <c r="E6" s="61" t="s">
        <v>347</v>
      </c>
      <c r="F6" s="28"/>
    </row>
    <row r="7" spans="1:6" s="29" customFormat="1">
      <c r="A7" s="60" t="s">
        <v>240</v>
      </c>
      <c r="B7" s="60">
        <v>5</v>
      </c>
      <c r="C7" s="60">
        <v>5</v>
      </c>
      <c r="D7" s="61" t="s">
        <v>241</v>
      </c>
      <c r="E7" s="61" t="s">
        <v>242</v>
      </c>
      <c r="F7" s="28"/>
    </row>
    <row r="8" spans="1:6" s="29" customFormat="1">
      <c r="A8" s="60" t="s">
        <v>85</v>
      </c>
      <c r="B8" s="62">
        <v>2</v>
      </c>
      <c r="C8" s="60">
        <v>2</v>
      </c>
      <c r="D8" s="61">
        <v>650581254</v>
      </c>
      <c r="E8" s="61">
        <v>669506241</v>
      </c>
      <c r="F8" s="28"/>
    </row>
    <row r="9" spans="1:6" s="29" customFormat="1">
      <c r="A9" s="60" t="s">
        <v>184</v>
      </c>
      <c r="B9" s="62">
        <v>4</v>
      </c>
      <c r="C9" s="60">
        <v>4</v>
      </c>
      <c r="D9" s="61" t="s">
        <v>185</v>
      </c>
      <c r="E9" s="61" t="s">
        <v>186</v>
      </c>
      <c r="F9" s="28"/>
    </row>
    <row r="10" spans="1:6" s="29" customFormat="1">
      <c r="A10" s="60" t="s">
        <v>361</v>
      </c>
      <c r="B10" s="62">
        <v>7</v>
      </c>
      <c r="C10" s="60">
        <v>7</v>
      </c>
      <c r="D10" s="61" t="s">
        <v>362</v>
      </c>
      <c r="E10" s="61" t="s">
        <v>363</v>
      </c>
      <c r="F10" s="28"/>
    </row>
    <row r="11" spans="1:6" s="29" customFormat="1">
      <c r="A11" s="60" t="s">
        <v>373</v>
      </c>
      <c r="B11" s="60">
        <v>7</v>
      </c>
      <c r="C11" s="60">
        <v>7</v>
      </c>
      <c r="D11" s="61" t="s">
        <v>371</v>
      </c>
      <c r="E11" s="61" t="s">
        <v>372</v>
      </c>
      <c r="F11" s="28"/>
    </row>
    <row r="12" spans="1:6" s="29" customFormat="1">
      <c r="A12" s="60" t="s">
        <v>326</v>
      </c>
      <c r="B12" s="60">
        <v>6</v>
      </c>
      <c r="C12" s="60">
        <v>6</v>
      </c>
      <c r="D12" s="61">
        <v>609489443</v>
      </c>
      <c r="E12" s="61">
        <v>697908660</v>
      </c>
      <c r="F12" s="28"/>
    </row>
    <row r="13" spans="1:6" s="29" customFormat="1">
      <c r="A13" s="60" t="s">
        <v>101</v>
      </c>
      <c r="B13" s="60">
        <v>2</v>
      </c>
      <c r="C13" s="60">
        <v>2</v>
      </c>
      <c r="D13" s="61" t="s">
        <v>102</v>
      </c>
      <c r="E13" s="61" t="s">
        <v>103</v>
      </c>
      <c r="F13" s="28"/>
    </row>
    <row r="14" spans="1:6" s="29" customFormat="1">
      <c r="A14" s="60" t="s">
        <v>364</v>
      </c>
      <c r="B14" s="60">
        <v>7</v>
      </c>
      <c r="C14" s="60">
        <v>7</v>
      </c>
      <c r="D14" s="61" t="s">
        <v>365</v>
      </c>
      <c r="E14" s="61" t="s">
        <v>366</v>
      </c>
      <c r="F14" s="28"/>
    </row>
    <row r="15" spans="1:6" s="29" customFormat="1">
      <c r="A15" s="40"/>
      <c r="B15" s="40"/>
      <c r="C15" s="40"/>
      <c r="D15" s="41"/>
      <c r="E15" s="41"/>
      <c r="F15" s="28"/>
    </row>
    <row r="16" spans="1:6" s="29" customFormat="1">
      <c r="A16" s="40"/>
      <c r="B16" s="40"/>
      <c r="C16" s="40"/>
      <c r="D16" s="41"/>
      <c r="E16" s="41"/>
      <c r="F16" s="28"/>
    </row>
    <row r="17" spans="1:6" s="29" customFormat="1">
      <c r="A17" s="40"/>
      <c r="B17" s="55" t="s">
        <v>455</v>
      </c>
      <c r="C17" s="56" t="s">
        <v>456</v>
      </c>
      <c r="D17" s="41"/>
      <c r="E17" s="41"/>
      <c r="F17" s="28"/>
    </row>
    <row r="18" spans="1:6" s="29" customFormat="1">
      <c r="A18" s="40"/>
      <c r="B18" s="55"/>
      <c r="C18" s="57" t="s">
        <v>457</v>
      </c>
      <c r="D18" s="41"/>
      <c r="E18" s="41"/>
      <c r="F18" s="28"/>
    </row>
    <row r="19" spans="1:6" s="29" customFormat="1">
      <c r="A19" s="40"/>
      <c r="B19" s="55"/>
      <c r="C19" s="58" t="s">
        <v>458</v>
      </c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7:B19"/>
  </mergeCells>
  <conditionalFormatting sqref="A6:E6">
    <cfRule type="expression" dxfId="398" priority="27">
      <formula>$C$6&lt;&gt;$B$6</formula>
    </cfRule>
    <cfRule type="expression" dxfId="397" priority="26">
      <formula>$C$6="NO VA HOY"</formula>
    </cfRule>
    <cfRule type="expression" dxfId="396" priority="25">
      <formula>$B$6=0</formula>
    </cfRule>
  </conditionalFormatting>
  <conditionalFormatting sqref="A7:E7">
    <cfRule type="expression" dxfId="395" priority="24">
      <formula>$C$7&lt;&gt;$B$7</formula>
    </cfRule>
    <cfRule type="expression" dxfId="394" priority="23">
      <formula>$C$7="NO VA HOY"</formula>
    </cfRule>
    <cfRule type="expression" dxfId="393" priority="22">
      <formula>$B$7=0</formula>
    </cfRule>
  </conditionalFormatting>
  <conditionalFormatting sqref="A8:E8">
    <cfRule type="expression" dxfId="392" priority="21">
      <formula>$C$8&lt;&gt;$B$8</formula>
    </cfRule>
    <cfRule type="expression" dxfId="391" priority="20">
      <formula>$C$8="NO VA HOY"</formula>
    </cfRule>
    <cfRule type="expression" dxfId="390" priority="19">
      <formula>$B$8=0</formula>
    </cfRule>
  </conditionalFormatting>
  <conditionalFormatting sqref="A9:E9">
    <cfRule type="expression" dxfId="389" priority="18">
      <formula>$C$9&lt;&gt;$B$9</formula>
    </cfRule>
    <cfRule type="expression" dxfId="388" priority="17">
      <formula>$C$9="NO VA HOY"</formula>
    </cfRule>
    <cfRule type="expression" dxfId="387" priority="16">
      <formula>$B$9=0</formula>
    </cfRule>
  </conditionalFormatting>
  <conditionalFormatting sqref="A10:E10">
    <cfRule type="expression" dxfId="386" priority="15">
      <formula>$C$10&lt;&gt;$B$10</formula>
    </cfRule>
    <cfRule type="expression" dxfId="385" priority="14">
      <formula>$C$10="NO VA HOY"</formula>
    </cfRule>
    <cfRule type="expression" dxfId="384" priority="13">
      <formula>$B$10=0</formula>
    </cfRule>
  </conditionalFormatting>
  <conditionalFormatting sqref="A11:E11">
    <cfRule type="expression" dxfId="383" priority="12">
      <formula>$C$11&lt;&gt;$B$11</formula>
    </cfRule>
    <cfRule type="expression" dxfId="382" priority="11">
      <formula>$C$11="NO VA HOY"</formula>
    </cfRule>
    <cfRule type="expression" dxfId="381" priority="10">
      <formula>$B$11=0</formula>
    </cfRule>
  </conditionalFormatting>
  <conditionalFormatting sqref="A12:E12">
    <cfRule type="expression" dxfId="380" priority="9">
      <formula>$C$12&lt;&gt;$B$12</formula>
    </cfRule>
    <cfRule type="expression" dxfId="379" priority="8">
      <formula>$C$12="NO VA HOY"</formula>
    </cfRule>
    <cfRule type="expression" dxfId="378" priority="7">
      <formula>$B$12=0</formula>
    </cfRule>
  </conditionalFormatting>
  <conditionalFormatting sqref="A13:E13">
    <cfRule type="expression" dxfId="377" priority="6">
      <formula>$C$13&lt;&gt;$B$13</formula>
    </cfRule>
    <cfRule type="expression" dxfId="376" priority="5">
      <formula>$C$13="NO VA HOY"</formula>
    </cfRule>
    <cfRule type="expression" dxfId="375" priority="4">
      <formula>$B$13=0</formula>
    </cfRule>
  </conditionalFormatting>
  <conditionalFormatting sqref="A14:E14">
    <cfRule type="expression" dxfId="374" priority="3">
      <formula>$C$14&lt;&gt;$B$14</formula>
    </cfRule>
    <cfRule type="expression" dxfId="373" priority="2">
      <formula>$C$14="NO VA HOY"</formula>
    </cfRule>
    <cfRule type="expression" dxfId="372" priority="1">
      <formula>$B$14=0</formula>
    </cfRule>
  </conditionalFormatting>
  <pageMargins left="0.7" right="0.7" top="0.75" bottom="0.75" header="0.3" footer="0.3"/>
  <pageSetup paperSize="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F231"/>
  <sheetViews>
    <sheetView workbookViewId="0">
      <selection activeCell="A5" sqref="A5:E15"/>
    </sheetView>
  </sheetViews>
  <sheetFormatPr defaultColWidth="11.42578125" defaultRowHeight="12"/>
  <cols>
    <col min="1" max="1" width="38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442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311</v>
      </c>
      <c r="B6" s="60">
        <v>6</v>
      </c>
      <c r="C6" s="60">
        <v>6</v>
      </c>
      <c r="D6" s="61" t="s">
        <v>308</v>
      </c>
      <c r="E6" s="61" t="s">
        <v>309</v>
      </c>
      <c r="F6" s="28"/>
    </row>
    <row r="7" spans="1:6" s="29" customFormat="1">
      <c r="A7" s="60" t="s">
        <v>25</v>
      </c>
      <c r="B7" s="60">
        <v>1</v>
      </c>
      <c r="C7" s="60">
        <v>1</v>
      </c>
      <c r="D7" s="61" t="s">
        <v>22</v>
      </c>
      <c r="E7" s="61" t="s">
        <v>23</v>
      </c>
      <c r="F7" s="28"/>
    </row>
    <row r="8" spans="1:6" s="29" customFormat="1">
      <c r="A8" s="60" t="s">
        <v>218</v>
      </c>
      <c r="B8" s="62">
        <v>4</v>
      </c>
      <c r="C8" s="60">
        <v>4</v>
      </c>
      <c r="D8" s="61" t="s">
        <v>219</v>
      </c>
      <c r="E8" s="61" t="s">
        <v>220</v>
      </c>
      <c r="F8" s="28"/>
    </row>
    <row r="9" spans="1:6" s="29" customFormat="1">
      <c r="A9" s="60" t="s">
        <v>331</v>
      </c>
      <c r="B9" s="62">
        <v>6</v>
      </c>
      <c r="C9" s="60">
        <v>6</v>
      </c>
      <c r="D9" s="61">
        <v>666434231</v>
      </c>
      <c r="E9" s="61">
        <v>600772781</v>
      </c>
      <c r="F9" s="28"/>
    </row>
    <row r="10" spans="1:6" s="29" customFormat="1">
      <c r="A10" s="60" t="s">
        <v>389</v>
      </c>
      <c r="B10" s="62">
        <v>8</v>
      </c>
      <c r="C10" s="60">
        <v>8</v>
      </c>
      <c r="D10" s="61" t="s">
        <v>390</v>
      </c>
      <c r="E10" s="61" t="s">
        <v>391</v>
      </c>
      <c r="F10" s="28"/>
    </row>
    <row r="11" spans="1:6" s="29" customFormat="1">
      <c r="A11" s="60" t="s">
        <v>288</v>
      </c>
      <c r="B11" s="60">
        <v>6</v>
      </c>
      <c r="C11" s="60">
        <v>6</v>
      </c>
      <c r="D11" s="61" t="s">
        <v>289</v>
      </c>
      <c r="E11" s="61" t="s">
        <v>290</v>
      </c>
      <c r="F11" s="28"/>
    </row>
    <row r="12" spans="1:6" s="29" customFormat="1">
      <c r="A12" s="60" t="s">
        <v>190</v>
      </c>
      <c r="B12" s="60">
        <v>4</v>
      </c>
      <c r="C12" s="60">
        <v>4</v>
      </c>
      <c r="D12" s="61" t="s">
        <v>188</v>
      </c>
      <c r="E12" s="61" t="s">
        <v>189</v>
      </c>
      <c r="F12" s="28"/>
    </row>
    <row r="13" spans="1:6" s="29" customFormat="1">
      <c r="A13" s="60" t="s">
        <v>417</v>
      </c>
      <c r="B13" s="60">
        <v>8</v>
      </c>
      <c r="C13" s="60">
        <v>8</v>
      </c>
      <c r="D13" s="61" t="s">
        <v>415</v>
      </c>
      <c r="E13" s="61" t="s">
        <v>416</v>
      </c>
      <c r="F13" s="28"/>
    </row>
    <row r="14" spans="1:6" s="29" customFormat="1">
      <c r="A14" s="60" t="s">
        <v>70</v>
      </c>
      <c r="B14" s="60">
        <v>2</v>
      </c>
      <c r="C14" s="60">
        <v>2</v>
      </c>
      <c r="D14" s="61" t="s">
        <v>71</v>
      </c>
      <c r="E14" s="61" t="s">
        <v>72</v>
      </c>
      <c r="F14" s="28"/>
    </row>
    <row r="15" spans="1:6" s="29" customFormat="1">
      <c r="A15" s="60" t="s">
        <v>97</v>
      </c>
      <c r="B15" s="60">
        <v>2</v>
      </c>
      <c r="C15" s="60">
        <v>2</v>
      </c>
      <c r="D15" s="61">
        <v>627238800</v>
      </c>
      <c r="E15" s="61">
        <v>616506750</v>
      </c>
      <c r="F15" s="28"/>
    </row>
    <row r="16" spans="1:6" s="29" customFormat="1">
      <c r="A16" s="40"/>
      <c r="B16" s="40"/>
      <c r="C16" s="40"/>
      <c r="D16" s="41"/>
      <c r="E16" s="41"/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55" t="s">
        <v>455</v>
      </c>
      <c r="C18" s="56" t="s">
        <v>456</v>
      </c>
      <c r="D18" s="41"/>
      <c r="E18" s="41"/>
      <c r="F18" s="28"/>
    </row>
    <row r="19" spans="1:6" s="29" customFormat="1">
      <c r="A19" s="40"/>
      <c r="B19" s="55"/>
      <c r="C19" s="57" t="s">
        <v>457</v>
      </c>
      <c r="D19" s="41"/>
      <c r="E19" s="41"/>
      <c r="F19" s="28"/>
    </row>
    <row r="20" spans="1:6" s="29" customFormat="1">
      <c r="A20" s="40"/>
      <c r="B20" s="55"/>
      <c r="C20" s="58" t="s">
        <v>458</v>
      </c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8:B20"/>
  </mergeCells>
  <conditionalFormatting sqref="A6:E6">
    <cfRule type="expression" dxfId="371" priority="30">
      <formula>$C$6&lt;&gt;$B$6</formula>
    </cfRule>
    <cfRule type="expression" dxfId="370" priority="29">
      <formula>$C$6="NO VA HOY"</formula>
    </cfRule>
    <cfRule type="expression" dxfId="369" priority="28">
      <formula>$B$6=0</formula>
    </cfRule>
  </conditionalFormatting>
  <conditionalFormatting sqref="A7:E7">
    <cfRule type="expression" dxfId="368" priority="27">
      <formula>$C$7&lt;&gt;$B$7</formula>
    </cfRule>
    <cfRule type="expression" dxfId="367" priority="26">
      <formula>$C$7="NO VA HOY"</formula>
    </cfRule>
    <cfRule type="expression" dxfId="366" priority="25">
      <formula>$B$7=0</formula>
    </cfRule>
  </conditionalFormatting>
  <conditionalFormatting sqref="A8:E8">
    <cfRule type="expression" dxfId="365" priority="24">
      <formula>$C$8&lt;&gt;$B$8</formula>
    </cfRule>
    <cfRule type="expression" dxfId="364" priority="23">
      <formula>$C$8="NO VA HOY"</formula>
    </cfRule>
    <cfRule type="expression" dxfId="363" priority="22">
      <formula>$B$8=0</formula>
    </cfRule>
  </conditionalFormatting>
  <conditionalFormatting sqref="A9:E9">
    <cfRule type="expression" dxfId="362" priority="21">
      <formula>$C$9&lt;&gt;$B$9</formula>
    </cfRule>
    <cfRule type="expression" dxfId="361" priority="20">
      <formula>$C$9="NO VA HOY"</formula>
    </cfRule>
    <cfRule type="expression" dxfId="360" priority="19">
      <formula>$B$9=0</formula>
    </cfRule>
  </conditionalFormatting>
  <conditionalFormatting sqref="A10:E10">
    <cfRule type="expression" dxfId="359" priority="18">
      <formula>$C$10&lt;&gt;$B$10</formula>
    </cfRule>
    <cfRule type="expression" dxfId="358" priority="17">
      <formula>$C$10="NO VA HOY"</formula>
    </cfRule>
    <cfRule type="expression" dxfId="357" priority="16">
      <formula>$B$10=0</formula>
    </cfRule>
  </conditionalFormatting>
  <conditionalFormatting sqref="A11:E11">
    <cfRule type="expression" dxfId="356" priority="15">
      <formula>$C$11&lt;&gt;$B$11</formula>
    </cfRule>
    <cfRule type="expression" dxfId="355" priority="14">
      <formula>$C$11="NO VA HOY"</formula>
    </cfRule>
    <cfRule type="expression" dxfId="354" priority="13">
      <formula>$B$11=0</formula>
    </cfRule>
  </conditionalFormatting>
  <conditionalFormatting sqref="A12:E12">
    <cfRule type="expression" dxfId="353" priority="12">
      <formula>$C$12&lt;&gt;$B$12</formula>
    </cfRule>
    <cfRule type="expression" dxfId="352" priority="11">
      <formula>$C$12="NO VA HOY"</formula>
    </cfRule>
    <cfRule type="expression" dxfId="351" priority="10">
      <formula>$B$12=0</formula>
    </cfRule>
  </conditionalFormatting>
  <conditionalFormatting sqref="A13:E13">
    <cfRule type="expression" dxfId="350" priority="9">
      <formula>$C$13&lt;&gt;$B$13</formula>
    </cfRule>
    <cfRule type="expression" dxfId="349" priority="8">
      <formula>$C$13="NO VA HOY"</formula>
    </cfRule>
    <cfRule type="expression" dxfId="348" priority="7">
      <formula>$B$13=0</formula>
    </cfRule>
  </conditionalFormatting>
  <conditionalFormatting sqref="A14:E14">
    <cfRule type="expression" dxfId="347" priority="6">
      <formula>$C$14&lt;&gt;$B$14</formula>
    </cfRule>
    <cfRule type="expression" dxfId="346" priority="5">
      <formula>$C$14="NO VA HOY"</formula>
    </cfRule>
    <cfRule type="expression" dxfId="345" priority="4">
      <formula>$B$14=0</formula>
    </cfRule>
  </conditionalFormatting>
  <conditionalFormatting sqref="A15:E15">
    <cfRule type="expression" dxfId="344" priority="3">
      <formula>$C$15&lt;&gt;$B$15</formula>
    </cfRule>
    <cfRule type="expression" dxfId="343" priority="2">
      <formula>$C$15="NO VA HOY"</formula>
    </cfRule>
    <cfRule type="expression" dxfId="342" priority="1">
      <formula>$B$15=0</formula>
    </cfRule>
  </conditionalFormatting>
  <pageMargins left="0.7" right="0.7" top="0.75" bottom="0.75" header="0.3" footer="0.3"/>
  <pageSetup paperSize="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F231"/>
  <sheetViews>
    <sheetView workbookViewId="0">
      <selection activeCell="A5" sqref="A5:E16"/>
    </sheetView>
  </sheetViews>
  <sheetFormatPr defaultColWidth="11.42578125" defaultRowHeight="12"/>
  <cols>
    <col min="1" max="1" width="37.28515625" style="17" bestFit="1" customWidth="1"/>
    <col min="2" max="2" width="11.42578125" style="17" bestFit="1" customWidth="1"/>
    <col min="3" max="3" width="15.42578125" style="17" bestFit="1" customWidth="1"/>
    <col min="4" max="4" width="39.7109375" style="16" bestFit="1" customWidth="1"/>
    <col min="5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443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198</v>
      </c>
      <c r="B6" s="60">
        <v>4</v>
      </c>
      <c r="C6" s="60">
        <v>4</v>
      </c>
      <c r="D6" s="61" t="s">
        <v>199</v>
      </c>
      <c r="E6" s="61" t="s">
        <v>200</v>
      </c>
      <c r="F6" s="28"/>
    </row>
    <row r="7" spans="1:6" s="29" customFormat="1">
      <c r="A7" s="60" t="s">
        <v>79</v>
      </c>
      <c r="B7" s="60">
        <v>2</v>
      </c>
      <c r="C7" s="60">
        <v>2</v>
      </c>
      <c r="D7" s="61" t="s">
        <v>80</v>
      </c>
      <c r="E7" s="61" t="s">
        <v>81</v>
      </c>
      <c r="F7" s="28"/>
    </row>
    <row r="8" spans="1:6" s="29" customFormat="1">
      <c r="A8" s="60" t="s">
        <v>264</v>
      </c>
      <c r="B8" s="62">
        <v>6</v>
      </c>
      <c r="C8" s="60">
        <v>6</v>
      </c>
      <c r="D8" s="61" t="s">
        <v>265</v>
      </c>
      <c r="E8" s="61">
        <v>610512278</v>
      </c>
      <c r="F8" s="28"/>
    </row>
    <row r="9" spans="1:6" s="29" customFormat="1">
      <c r="A9" s="60" t="s">
        <v>348</v>
      </c>
      <c r="B9" s="62">
        <v>7</v>
      </c>
      <c r="C9" s="60">
        <v>7</v>
      </c>
      <c r="D9" s="61" t="s">
        <v>349</v>
      </c>
      <c r="E9" s="61">
        <v>656161593</v>
      </c>
      <c r="F9" s="28"/>
    </row>
    <row r="10" spans="1:6" s="29" customFormat="1">
      <c r="A10" s="60" t="s">
        <v>12</v>
      </c>
      <c r="B10" s="62">
        <v>1</v>
      </c>
      <c r="C10" s="60">
        <v>1</v>
      </c>
      <c r="D10" s="61" t="s">
        <v>13</v>
      </c>
      <c r="E10" s="61" t="s">
        <v>14</v>
      </c>
      <c r="F10" s="28"/>
    </row>
    <row r="11" spans="1:6" s="29" customFormat="1">
      <c r="A11" s="60" t="s">
        <v>122</v>
      </c>
      <c r="B11" s="60">
        <v>2</v>
      </c>
      <c r="C11" s="60">
        <v>2</v>
      </c>
      <c r="D11" s="61" t="s">
        <v>123</v>
      </c>
      <c r="E11" s="61" t="s">
        <v>124</v>
      </c>
      <c r="F11" s="28"/>
    </row>
    <row r="12" spans="1:6" s="29" customFormat="1">
      <c r="A12" s="60" t="s">
        <v>88</v>
      </c>
      <c r="B12" s="60">
        <v>2</v>
      </c>
      <c r="C12" s="60">
        <v>2</v>
      </c>
      <c r="D12" s="61" t="s">
        <v>89</v>
      </c>
      <c r="E12" s="61" t="s">
        <v>90</v>
      </c>
      <c r="F12" s="28"/>
    </row>
    <row r="13" spans="1:6" s="29" customFormat="1">
      <c r="A13" s="60" t="s">
        <v>221</v>
      </c>
      <c r="B13" s="60">
        <v>4</v>
      </c>
      <c r="C13" s="60">
        <v>4</v>
      </c>
      <c r="D13" s="61" t="s">
        <v>222</v>
      </c>
      <c r="E13" s="61" t="s">
        <v>223</v>
      </c>
      <c r="F13" s="28"/>
    </row>
    <row r="14" spans="1:6" s="29" customFormat="1">
      <c r="A14" s="60" t="s">
        <v>206</v>
      </c>
      <c r="B14" s="60">
        <v>4</v>
      </c>
      <c r="C14" s="60">
        <v>4</v>
      </c>
      <c r="D14" s="61" t="s">
        <v>207</v>
      </c>
      <c r="E14" s="61" t="s">
        <v>208</v>
      </c>
      <c r="F14" s="28"/>
    </row>
    <row r="15" spans="1:6" s="29" customFormat="1">
      <c r="A15" s="60" t="s">
        <v>342</v>
      </c>
      <c r="B15" s="60">
        <v>7</v>
      </c>
      <c r="C15" s="60">
        <v>7</v>
      </c>
      <c r="D15" s="61" t="s">
        <v>339</v>
      </c>
      <c r="E15" s="61" t="s">
        <v>340</v>
      </c>
      <c r="F15" s="28"/>
    </row>
    <row r="16" spans="1:6" s="29" customFormat="1">
      <c r="A16" s="60" t="s">
        <v>385</v>
      </c>
      <c r="B16" s="60">
        <v>7</v>
      </c>
      <c r="C16" s="60">
        <v>7</v>
      </c>
      <c r="D16" s="61" t="s">
        <v>386</v>
      </c>
      <c r="E16" s="61" t="s">
        <v>387</v>
      </c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55" t="s">
        <v>455</v>
      </c>
      <c r="C19" s="56" t="s">
        <v>456</v>
      </c>
      <c r="D19" s="41"/>
      <c r="E19" s="41"/>
      <c r="F19" s="28"/>
    </row>
    <row r="20" spans="1:6" s="29" customFormat="1">
      <c r="A20" s="40"/>
      <c r="B20" s="55"/>
      <c r="C20" s="57" t="s">
        <v>457</v>
      </c>
      <c r="D20" s="41"/>
      <c r="E20" s="41"/>
      <c r="F20" s="28"/>
    </row>
    <row r="21" spans="1:6" s="29" customFormat="1">
      <c r="A21" s="40"/>
      <c r="B21" s="55"/>
      <c r="C21" s="58" t="s">
        <v>458</v>
      </c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9:B21"/>
  </mergeCells>
  <conditionalFormatting sqref="A6:E6">
    <cfRule type="expression" dxfId="341" priority="33">
      <formula>$C$6&lt;&gt;$B$6</formula>
    </cfRule>
    <cfRule type="expression" dxfId="340" priority="32">
      <formula>$C$6="NO VA HOY"</formula>
    </cfRule>
    <cfRule type="expression" dxfId="339" priority="31">
      <formula>$B$6=0</formula>
    </cfRule>
  </conditionalFormatting>
  <conditionalFormatting sqref="A7:E7">
    <cfRule type="expression" dxfId="338" priority="30">
      <formula>$C$7&lt;&gt;$B$7</formula>
    </cfRule>
    <cfRule type="expression" dxfId="337" priority="29">
      <formula>$C$7="NO VA HOY"</formula>
    </cfRule>
    <cfRule type="expression" dxfId="336" priority="28">
      <formula>$B$7=0</formula>
    </cfRule>
  </conditionalFormatting>
  <conditionalFormatting sqref="A8:E8">
    <cfRule type="expression" dxfId="335" priority="27">
      <formula>$C$8&lt;&gt;$B$8</formula>
    </cfRule>
    <cfRule type="expression" dxfId="334" priority="26">
      <formula>$C$8="NO VA HOY"</formula>
    </cfRule>
    <cfRule type="expression" dxfId="333" priority="25">
      <formula>$B$8=0</formula>
    </cfRule>
  </conditionalFormatting>
  <conditionalFormatting sqref="A9:E9">
    <cfRule type="expression" dxfId="332" priority="24">
      <formula>$C$9&lt;&gt;$B$9</formula>
    </cfRule>
    <cfRule type="expression" dxfId="331" priority="23">
      <formula>$C$9="NO VA HOY"</formula>
    </cfRule>
    <cfRule type="expression" dxfId="330" priority="22">
      <formula>$B$9=0</formula>
    </cfRule>
  </conditionalFormatting>
  <conditionalFormatting sqref="A10:E10">
    <cfRule type="expression" dxfId="329" priority="21">
      <formula>$C$10&lt;&gt;$B$10</formula>
    </cfRule>
    <cfRule type="expression" dxfId="328" priority="20">
      <formula>$C$10="NO VA HOY"</formula>
    </cfRule>
    <cfRule type="expression" dxfId="327" priority="19">
      <formula>$B$10=0</formula>
    </cfRule>
  </conditionalFormatting>
  <conditionalFormatting sqref="A11:E11">
    <cfRule type="expression" dxfId="326" priority="18">
      <formula>$C$11&lt;&gt;$B$11</formula>
    </cfRule>
    <cfRule type="expression" dxfId="325" priority="17">
      <formula>$C$11="NO VA HOY"</formula>
    </cfRule>
    <cfRule type="expression" dxfId="324" priority="16">
      <formula>$B$11=0</formula>
    </cfRule>
  </conditionalFormatting>
  <conditionalFormatting sqref="A12:E12">
    <cfRule type="expression" dxfId="323" priority="15">
      <formula>$C$12&lt;&gt;$B$12</formula>
    </cfRule>
    <cfRule type="expression" dxfId="322" priority="14">
      <formula>$C$12="NO VA HOY"</formula>
    </cfRule>
    <cfRule type="expression" dxfId="321" priority="13">
      <formula>$B$12=0</formula>
    </cfRule>
  </conditionalFormatting>
  <conditionalFormatting sqref="A13:E13">
    <cfRule type="expression" dxfId="320" priority="12">
      <formula>$C$13&lt;&gt;$B$13</formula>
    </cfRule>
    <cfRule type="expression" dxfId="319" priority="11">
      <formula>$C$13="NO VA HOY"</formula>
    </cfRule>
    <cfRule type="expression" dxfId="318" priority="10">
      <formula>$B$13=0</formula>
    </cfRule>
  </conditionalFormatting>
  <conditionalFormatting sqref="A14:E14">
    <cfRule type="expression" dxfId="317" priority="9">
      <formula>$C$14&lt;&gt;$B$14</formula>
    </cfRule>
    <cfRule type="expression" dxfId="316" priority="8">
      <formula>$C$14="NO VA HOY"</formula>
    </cfRule>
    <cfRule type="expression" dxfId="315" priority="7">
      <formula>$B$14=0</formula>
    </cfRule>
  </conditionalFormatting>
  <conditionalFormatting sqref="A15:E15">
    <cfRule type="expression" dxfId="314" priority="6">
      <formula>$C$15&lt;&gt;$B$15</formula>
    </cfRule>
    <cfRule type="expression" dxfId="313" priority="5">
      <formula>$C$15="NO VA HOY"</formula>
    </cfRule>
    <cfRule type="expression" dxfId="312" priority="4">
      <formula>$B$15=0</formula>
    </cfRule>
  </conditionalFormatting>
  <conditionalFormatting sqref="A16:E16">
    <cfRule type="expression" dxfId="311" priority="3">
      <formula>$C$16&lt;&gt;$B$16</formula>
    </cfRule>
    <cfRule type="expression" dxfId="310" priority="2">
      <formula>$C$16="NO VA HOY"</formula>
    </cfRule>
    <cfRule type="expression" dxfId="309" priority="1">
      <formula>$B$16=0</formula>
    </cfRule>
  </conditionalFormatting>
  <pageMargins left="0.7" right="0.7" top="0.75" bottom="0.75" header="0.3" footer="0.3"/>
  <pageSetup paperSize="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F231"/>
  <sheetViews>
    <sheetView workbookViewId="0">
      <selection activeCell="A5" sqref="A5:E14"/>
    </sheetView>
  </sheetViews>
  <sheetFormatPr defaultColWidth="11.42578125" defaultRowHeight="12"/>
  <cols>
    <col min="1" max="1" width="36.5703125" style="17" bestFit="1" customWidth="1"/>
    <col min="2" max="2" width="11.42578125" style="17" bestFit="1" customWidth="1"/>
    <col min="3" max="3" width="15.42578125" style="17" bestFit="1" customWidth="1"/>
    <col min="4" max="5" width="31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444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137</v>
      </c>
      <c r="B6" s="60">
        <v>3</v>
      </c>
      <c r="C6" s="60">
        <v>3</v>
      </c>
      <c r="D6" s="61" t="s">
        <v>138</v>
      </c>
      <c r="E6" s="61" t="s">
        <v>139</v>
      </c>
      <c r="F6" s="28"/>
    </row>
    <row r="7" spans="1:6" s="29" customFormat="1">
      <c r="A7" s="60" t="s">
        <v>426</v>
      </c>
      <c r="B7" s="60">
        <v>8</v>
      </c>
      <c r="C7" s="60">
        <v>8</v>
      </c>
      <c r="D7" s="61" t="s">
        <v>424</v>
      </c>
      <c r="E7" s="61" t="s">
        <v>425</v>
      </c>
      <c r="F7" s="28"/>
    </row>
    <row r="8" spans="1:6" s="29" customFormat="1">
      <c r="A8" s="60" t="s">
        <v>403</v>
      </c>
      <c r="B8" s="62">
        <v>8</v>
      </c>
      <c r="C8" s="60">
        <v>8</v>
      </c>
      <c r="D8" s="61" t="s">
        <v>401</v>
      </c>
      <c r="E8" s="61" t="s">
        <v>402</v>
      </c>
      <c r="F8" s="28"/>
    </row>
    <row r="9" spans="1:6" s="29" customFormat="1">
      <c r="A9" s="60" t="s">
        <v>336</v>
      </c>
      <c r="B9" s="62">
        <v>7</v>
      </c>
      <c r="C9" s="60">
        <v>7</v>
      </c>
      <c r="D9" s="61">
        <v>629784634</v>
      </c>
      <c r="E9" s="61">
        <v>619017869</v>
      </c>
      <c r="F9" s="28"/>
    </row>
    <row r="10" spans="1:6" s="29" customFormat="1">
      <c r="A10" s="60" t="s">
        <v>231</v>
      </c>
      <c r="B10" s="62">
        <v>5</v>
      </c>
      <c r="C10" s="60">
        <v>5</v>
      </c>
      <c r="D10" s="61" t="s">
        <v>232</v>
      </c>
      <c r="E10" s="61" t="s">
        <v>233</v>
      </c>
      <c r="F10" s="28"/>
    </row>
    <row r="11" spans="1:6" s="29" customFormat="1">
      <c r="A11" s="60" t="s">
        <v>128</v>
      </c>
      <c r="B11" s="60">
        <v>2</v>
      </c>
      <c r="C11" s="60">
        <v>2</v>
      </c>
      <c r="D11" s="61">
        <v>660388598</v>
      </c>
      <c r="E11" s="61">
        <v>618183862</v>
      </c>
      <c r="F11" s="28"/>
    </row>
    <row r="12" spans="1:6" s="29" customFormat="1">
      <c r="A12" s="60" t="s">
        <v>194</v>
      </c>
      <c r="B12" s="60">
        <v>4</v>
      </c>
      <c r="C12" s="60">
        <v>4</v>
      </c>
      <c r="D12" s="61" t="s">
        <v>192</v>
      </c>
      <c r="E12" s="61" t="s">
        <v>193</v>
      </c>
      <c r="F12" s="28"/>
    </row>
    <row r="13" spans="1:6" s="29" customFormat="1">
      <c r="A13" s="60" t="s">
        <v>409</v>
      </c>
      <c r="B13" s="60">
        <v>8</v>
      </c>
      <c r="C13" s="60">
        <v>5</v>
      </c>
      <c r="D13" s="61" t="s">
        <v>406</v>
      </c>
      <c r="E13" s="61" t="s">
        <v>407</v>
      </c>
      <c r="F13" s="28"/>
    </row>
    <row r="14" spans="1:6" s="29" customFormat="1">
      <c r="A14" s="60" t="s">
        <v>170</v>
      </c>
      <c r="B14" s="60">
        <v>3</v>
      </c>
      <c r="C14" s="60">
        <v>3</v>
      </c>
      <c r="D14" s="61" t="s">
        <v>171</v>
      </c>
      <c r="E14" s="61" t="s">
        <v>172</v>
      </c>
      <c r="F14" s="28"/>
    </row>
    <row r="15" spans="1:6" s="29" customFormat="1">
      <c r="A15" s="40"/>
      <c r="B15" s="40"/>
      <c r="C15" s="40"/>
      <c r="D15" s="41"/>
      <c r="E15" s="41"/>
      <c r="F15" s="28"/>
    </row>
    <row r="16" spans="1:6" s="29" customFormat="1">
      <c r="A16" s="40"/>
      <c r="B16" s="40"/>
      <c r="C16" s="40"/>
      <c r="D16" s="41"/>
      <c r="E16" s="41"/>
      <c r="F16" s="28"/>
    </row>
    <row r="17" spans="1:6" s="29" customFormat="1">
      <c r="A17" s="40"/>
      <c r="B17" s="55" t="s">
        <v>455</v>
      </c>
      <c r="C17" s="56" t="s">
        <v>456</v>
      </c>
      <c r="D17" s="41"/>
      <c r="E17" s="41"/>
      <c r="F17" s="28"/>
    </row>
    <row r="18" spans="1:6" s="29" customFormat="1">
      <c r="A18" s="40"/>
      <c r="B18" s="55"/>
      <c r="C18" s="57" t="s">
        <v>457</v>
      </c>
      <c r="D18" s="41"/>
      <c r="E18" s="41"/>
      <c r="F18" s="28"/>
    </row>
    <row r="19" spans="1:6" s="29" customFormat="1">
      <c r="A19" s="40"/>
      <c r="B19" s="55"/>
      <c r="C19" s="58" t="s">
        <v>458</v>
      </c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7:B19"/>
  </mergeCells>
  <conditionalFormatting sqref="A6:E6">
    <cfRule type="expression" dxfId="308" priority="27">
      <formula>$C$6&lt;&gt;$B$6</formula>
    </cfRule>
    <cfRule type="expression" dxfId="307" priority="26">
      <formula>$C$6="NO VA HOY"</formula>
    </cfRule>
    <cfRule type="expression" dxfId="306" priority="25">
      <formula>$B$6=0</formula>
    </cfRule>
  </conditionalFormatting>
  <conditionalFormatting sqref="A7:E7">
    <cfRule type="expression" dxfId="305" priority="24">
      <formula>$C$7&lt;&gt;$B$7</formula>
    </cfRule>
    <cfRule type="expression" dxfId="304" priority="23">
      <formula>$C$7="NO VA HOY"</formula>
    </cfRule>
    <cfRule type="expression" dxfId="303" priority="22">
      <formula>$B$7=0</formula>
    </cfRule>
  </conditionalFormatting>
  <conditionalFormatting sqref="A8:E8">
    <cfRule type="expression" dxfId="302" priority="21">
      <formula>$C$8&lt;&gt;$B$8</formula>
    </cfRule>
    <cfRule type="expression" dxfId="301" priority="20">
      <formula>$C$8="NO VA HOY"</formula>
    </cfRule>
    <cfRule type="expression" dxfId="300" priority="19">
      <formula>$B$8=0</formula>
    </cfRule>
  </conditionalFormatting>
  <conditionalFormatting sqref="A9:E9">
    <cfRule type="expression" dxfId="299" priority="18">
      <formula>$C$9&lt;&gt;$B$9</formula>
    </cfRule>
    <cfRule type="expression" dxfId="298" priority="17">
      <formula>$C$9="NO VA HOY"</formula>
    </cfRule>
    <cfRule type="expression" dxfId="297" priority="16">
      <formula>$B$9=0</formula>
    </cfRule>
  </conditionalFormatting>
  <conditionalFormatting sqref="A10:E10">
    <cfRule type="expression" dxfId="296" priority="15">
      <formula>$C$10&lt;&gt;$B$10</formula>
    </cfRule>
    <cfRule type="expression" dxfId="295" priority="14">
      <formula>$C$10="NO VA HOY"</formula>
    </cfRule>
    <cfRule type="expression" dxfId="294" priority="13">
      <formula>$B$10=0</formula>
    </cfRule>
  </conditionalFormatting>
  <conditionalFormatting sqref="A11:E11">
    <cfRule type="expression" dxfId="293" priority="12">
      <formula>$C$11&lt;&gt;$B$11</formula>
    </cfRule>
    <cfRule type="expression" dxfId="292" priority="11">
      <formula>$C$11="NO VA HOY"</formula>
    </cfRule>
    <cfRule type="expression" dxfId="291" priority="10">
      <formula>$B$11=0</formula>
    </cfRule>
  </conditionalFormatting>
  <conditionalFormatting sqref="A12:E12">
    <cfRule type="expression" dxfId="290" priority="9">
      <formula>$C$12&lt;&gt;$B$12</formula>
    </cfRule>
    <cfRule type="expression" dxfId="289" priority="8">
      <formula>$C$12="NO VA HOY"</formula>
    </cfRule>
    <cfRule type="expression" dxfId="288" priority="7">
      <formula>$B$12=0</formula>
    </cfRule>
  </conditionalFormatting>
  <conditionalFormatting sqref="A13:E13">
    <cfRule type="expression" dxfId="287" priority="6">
      <formula>$C$13&lt;&gt;$B$13</formula>
    </cfRule>
    <cfRule type="expression" dxfId="286" priority="5">
      <formula>$C$13="NO VA HOY"</formula>
    </cfRule>
    <cfRule type="expression" dxfId="285" priority="4">
      <formula>$B$13=0</formula>
    </cfRule>
  </conditionalFormatting>
  <conditionalFormatting sqref="A14:E14">
    <cfRule type="expression" dxfId="284" priority="3">
      <formula>$C$14&lt;&gt;$B$14</formula>
    </cfRule>
    <cfRule type="expression" dxfId="283" priority="2">
      <formula>$C$14="NO VA HOY"</formula>
    </cfRule>
    <cfRule type="expression" dxfId="282" priority="1">
      <formula>$B$14=0</formula>
    </cfRule>
  </conditionalFormatting>
  <pageMargins left="0.7" right="0.7" top="0.75" bottom="0.75" header="0.3" footer="0.3"/>
  <pageSetup paperSize="9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F231"/>
  <sheetViews>
    <sheetView workbookViewId="0">
      <selection activeCell="A5" sqref="A5:E16"/>
    </sheetView>
  </sheetViews>
  <sheetFormatPr defaultColWidth="11.42578125" defaultRowHeight="12"/>
  <cols>
    <col min="1" max="1" width="33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445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59" t="str">
        <f>Censo!B5</f>
        <v>Nombre del alumno</v>
      </c>
      <c r="B5" s="59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303</v>
      </c>
      <c r="B6" s="60">
        <v>6</v>
      </c>
      <c r="C6" s="60">
        <v>6</v>
      </c>
      <c r="D6" s="61">
        <v>639389707</v>
      </c>
      <c r="E6" s="61">
        <v>609520020</v>
      </c>
      <c r="F6" s="28"/>
    </row>
    <row r="7" spans="1:6" s="29" customFormat="1">
      <c r="A7" s="60" t="s">
        <v>49</v>
      </c>
      <c r="B7" s="60">
        <v>1</v>
      </c>
      <c r="C7" s="60">
        <v>1</v>
      </c>
      <c r="D7" s="61" t="s">
        <v>45</v>
      </c>
      <c r="E7" s="61" t="s">
        <v>46</v>
      </c>
      <c r="F7" s="28"/>
    </row>
    <row r="8" spans="1:6" s="29" customFormat="1">
      <c r="A8" s="60" t="s">
        <v>74</v>
      </c>
      <c r="B8" s="62">
        <v>2</v>
      </c>
      <c r="C8" s="60">
        <v>2</v>
      </c>
      <c r="D8" s="61" t="s">
        <v>75</v>
      </c>
      <c r="E8" s="61" t="s">
        <v>76</v>
      </c>
      <c r="F8" s="28"/>
    </row>
    <row r="9" spans="1:6" s="29" customFormat="1">
      <c r="A9" s="60" t="s">
        <v>196</v>
      </c>
      <c r="B9" s="62">
        <v>4</v>
      </c>
      <c r="C9" s="60">
        <v>4</v>
      </c>
      <c r="D9" s="61">
        <v>687477172</v>
      </c>
      <c r="E9" s="61">
        <v>606228537</v>
      </c>
      <c r="F9" s="28"/>
    </row>
    <row r="10" spans="1:6" s="29" customFormat="1">
      <c r="A10" s="60" t="s">
        <v>304</v>
      </c>
      <c r="B10" s="62">
        <v>6</v>
      </c>
      <c r="C10" s="60">
        <v>6</v>
      </c>
      <c r="D10" s="61" t="s">
        <v>305</v>
      </c>
      <c r="E10" s="61" t="s">
        <v>306</v>
      </c>
      <c r="F10" s="28"/>
    </row>
    <row r="11" spans="1:6" s="29" customFormat="1">
      <c r="A11" s="60" t="s">
        <v>21</v>
      </c>
      <c r="B11" s="60">
        <v>1</v>
      </c>
      <c r="C11" s="60">
        <v>1</v>
      </c>
      <c r="D11" s="61" t="s">
        <v>22</v>
      </c>
      <c r="E11" s="61" t="s">
        <v>23</v>
      </c>
      <c r="F11" s="28"/>
    </row>
    <row r="12" spans="1:6" s="29" customFormat="1">
      <c r="A12" s="60" t="s">
        <v>251</v>
      </c>
      <c r="B12" s="60">
        <v>5</v>
      </c>
      <c r="C12" s="60">
        <v>5</v>
      </c>
      <c r="D12" s="61">
        <v>670668441</v>
      </c>
      <c r="E12" s="61">
        <v>637858942</v>
      </c>
      <c r="F12" s="28"/>
    </row>
    <row r="13" spans="1:6" s="29" customFormat="1">
      <c r="A13" s="60" t="s">
        <v>381</v>
      </c>
      <c r="B13" s="60">
        <v>7</v>
      </c>
      <c r="C13" s="60">
        <v>7</v>
      </c>
      <c r="D13" s="61" t="s">
        <v>379</v>
      </c>
      <c r="E13" s="61" t="s">
        <v>380</v>
      </c>
      <c r="F13" s="28"/>
    </row>
    <row r="14" spans="1:6" s="29" customFormat="1">
      <c r="A14" s="60" t="s">
        <v>350</v>
      </c>
      <c r="B14" s="60">
        <v>7</v>
      </c>
      <c r="C14" s="60">
        <v>7</v>
      </c>
      <c r="D14" s="61" t="s">
        <v>351</v>
      </c>
      <c r="E14" s="61" t="s">
        <v>352</v>
      </c>
      <c r="F14" s="28"/>
    </row>
    <row r="15" spans="1:6" s="29" customFormat="1">
      <c r="A15" s="60" t="s">
        <v>156</v>
      </c>
      <c r="B15" s="60">
        <v>3</v>
      </c>
      <c r="C15" s="60">
        <v>3</v>
      </c>
      <c r="D15" s="61" t="s">
        <v>157</v>
      </c>
      <c r="E15" s="61" t="s">
        <v>158</v>
      </c>
      <c r="F15" s="28"/>
    </row>
    <row r="16" spans="1:6" s="29" customFormat="1">
      <c r="A16" s="60" t="s">
        <v>118</v>
      </c>
      <c r="B16" s="60">
        <v>2</v>
      </c>
      <c r="C16" s="60">
        <v>2</v>
      </c>
      <c r="D16" s="61" t="s">
        <v>119</v>
      </c>
      <c r="E16" s="61" t="s">
        <v>120</v>
      </c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55" t="s">
        <v>455</v>
      </c>
      <c r="C19" s="56" t="s">
        <v>456</v>
      </c>
      <c r="D19" s="41"/>
      <c r="E19" s="41"/>
      <c r="F19" s="28"/>
    </row>
    <row r="20" spans="1:6" s="29" customFormat="1">
      <c r="A20" s="40"/>
      <c r="B20" s="55"/>
      <c r="C20" s="57" t="s">
        <v>457</v>
      </c>
      <c r="D20" s="41"/>
      <c r="E20" s="41"/>
      <c r="F20" s="28"/>
    </row>
    <row r="21" spans="1:6" s="29" customFormat="1">
      <c r="A21" s="40"/>
      <c r="B21" s="55"/>
      <c r="C21" s="58" t="s">
        <v>458</v>
      </c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D41" s="28"/>
      <c r="E41" s="28"/>
      <c r="F41" s="28"/>
    </row>
    <row r="42" spans="1:6" s="29" customFormat="1">
      <c r="D42" s="28"/>
      <c r="E42" s="28"/>
      <c r="F42" s="28"/>
    </row>
    <row r="43" spans="1:6" s="29" customFormat="1">
      <c r="D43" s="28"/>
      <c r="E43" s="28"/>
      <c r="F43" s="28"/>
    </row>
    <row r="44" spans="1:6" s="29" customFormat="1">
      <c r="D44" s="28"/>
      <c r="E44" s="28"/>
      <c r="F44" s="28"/>
    </row>
    <row r="45" spans="1:6" s="29" customFormat="1">
      <c r="D45" s="28"/>
      <c r="E45" s="28"/>
      <c r="F45" s="28"/>
    </row>
    <row r="46" spans="1:6" s="29" customFormat="1">
      <c r="D46" s="28"/>
      <c r="E46" s="28"/>
      <c r="F46" s="28"/>
    </row>
    <row r="47" spans="1:6" s="29" customFormat="1">
      <c r="D47" s="28"/>
      <c r="E47" s="28"/>
      <c r="F47" s="28"/>
    </row>
    <row r="48" spans="1:6" s="29" customFormat="1">
      <c r="D48" s="28"/>
      <c r="E48" s="28"/>
      <c r="F48" s="28"/>
    </row>
    <row r="49" spans="4:6" s="29" customFormat="1">
      <c r="D49" s="28"/>
      <c r="E49" s="28"/>
      <c r="F49" s="28"/>
    </row>
    <row r="50" spans="4:6" s="29" customFormat="1">
      <c r="D50" s="28"/>
      <c r="E50" s="28"/>
      <c r="F50" s="28"/>
    </row>
    <row r="51" spans="4:6" s="29" customFormat="1">
      <c r="D51" s="28"/>
      <c r="E51" s="28"/>
      <c r="F51" s="28"/>
    </row>
    <row r="52" spans="4:6" s="29" customFormat="1">
      <c r="D52" s="28"/>
      <c r="E52" s="28"/>
      <c r="F52" s="28"/>
    </row>
    <row r="53" spans="4:6" s="29" customFormat="1">
      <c r="D53" s="28"/>
      <c r="E53" s="28"/>
      <c r="F53" s="28"/>
    </row>
    <row r="54" spans="4:6" s="29" customFormat="1">
      <c r="D54" s="28"/>
      <c r="E54" s="28"/>
      <c r="F54" s="28"/>
    </row>
    <row r="55" spans="4:6" s="29" customFormat="1">
      <c r="D55" s="28"/>
      <c r="E55" s="28"/>
      <c r="F55" s="28"/>
    </row>
    <row r="56" spans="4:6" s="29" customFormat="1">
      <c r="D56" s="28"/>
      <c r="E56" s="28"/>
      <c r="F56" s="28"/>
    </row>
    <row r="57" spans="4:6" s="29" customFormat="1">
      <c r="D57" s="28"/>
      <c r="E57" s="28"/>
      <c r="F57" s="28"/>
    </row>
    <row r="58" spans="4:6" s="29" customFormat="1">
      <c r="D58" s="28"/>
      <c r="E58" s="28"/>
      <c r="F58" s="28"/>
    </row>
    <row r="59" spans="4:6" s="29" customFormat="1">
      <c r="D59" s="28"/>
      <c r="E59" s="28"/>
      <c r="F59" s="28"/>
    </row>
    <row r="60" spans="4:6" s="29" customFormat="1">
      <c r="D60" s="28"/>
      <c r="E60" s="28"/>
      <c r="F60" s="28"/>
    </row>
    <row r="61" spans="4:6" s="29" customFormat="1">
      <c r="D61" s="28"/>
      <c r="E61" s="28"/>
      <c r="F61" s="28"/>
    </row>
    <row r="62" spans="4:6" s="29" customFormat="1">
      <c r="D62" s="28"/>
      <c r="E62" s="28"/>
      <c r="F62" s="28"/>
    </row>
    <row r="63" spans="4:6" s="29" customFormat="1">
      <c r="D63" s="28"/>
      <c r="E63" s="28"/>
      <c r="F63" s="28"/>
    </row>
    <row r="64" spans="4:6" s="29" customFormat="1">
      <c r="D64" s="28"/>
      <c r="E64" s="28"/>
      <c r="F64" s="28"/>
    </row>
    <row r="65" spans="4:6" s="29" customFormat="1">
      <c r="D65" s="28"/>
      <c r="E65" s="28"/>
      <c r="F65" s="28"/>
    </row>
    <row r="66" spans="4:6" s="29" customFormat="1">
      <c r="D66" s="28"/>
      <c r="E66" s="28"/>
      <c r="F66" s="28"/>
    </row>
    <row r="67" spans="4:6" s="29" customFormat="1">
      <c r="D67" s="28"/>
      <c r="E67" s="28"/>
      <c r="F67" s="28"/>
    </row>
    <row r="68" spans="4:6" s="29" customFormat="1">
      <c r="D68" s="28"/>
      <c r="E68" s="28"/>
      <c r="F68" s="28"/>
    </row>
    <row r="69" spans="4:6" s="29" customFormat="1">
      <c r="D69" s="28"/>
      <c r="E69" s="28"/>
      <c r="F69" s="28"/>
    </row>
    <row r="70" spans="4:6" s="29" customFormat="1">
      <c r="D70" s="28"/>
      <c r="E70" s="28"/>
      <c r="F70" s="28"/>
    </row>
    <row r="71" spans="4:6" s="29" customFormat="1">
      <c r="D71" s="28"/>
      <c r="E71" s="28"/>
      <c r="F71" s="28"/>
    </row>
    <row r="72" spans="4:6" s="29" customFormat="1">
      <c r="D72" s="28"/>
      <c r="E72" s="28"/>
      <c r="F72" s="28"/>
    </row>
    <row r="73" spans="4:6" s="29" customFormat="1">
      <c r="D73" s="28"/>
      <c r="E73" s="28"/>
      <c r="F73" s="28"/>
    </row>
    <row r="74" spans="4:6" s="29" customFormat="1">
      <c r="D74" s="28"/>
      <c r="E74" s="28"/>
      <c r="F74" s="28"/>
    </row>
    <row r="75" spans="4:6" s="29" customFormat="1">
      <c r="D75" s="28"/>
      <c r="E75" s="28"/>
      <c r="F75" s="28"/>
    </row>
    <row r="76" spans="4:6" s="29" customFormat="1">
      <c r="D76" s="28"/>
      <c r="E76" s="28"/>
      <c r="F76" s="28"/>
    </row>
    <row r="77" spans="4:6" s="29" customFormat="1">
      <c r="D77" s="28"/>
      <c r="E77" s="28"/>
      <c r="F77" s="28"/>
    </row>
    <row r="78" spans="4:6" s="29" customFormat="1">
      <c r="D78" s="28"/>
      <c r="E78" s="28"/>
      <c r="F78" s="28"/>
    </row>
    <row r="79" spans="4:6" s="29" customFormat="1">
      <c r="D79" s="28"/>
      <c r="E79" s="28"/>
      <c r="F79" s="28"/>
    </row>
    <row r="80" spans="4:6" s="29" customFormat="1">
      <c r="D80" s="28"/>
      <c r="E80" s="28"/>
      <c r="F80" s="28"/>
    </row>
    <row r="81" spans="4:6" s="29" customFormat="1">
      <c r="D81" s="28"/>
      <c r="E81" s="28"/>
      <c r="F81" s="28"/>
    </row>
    <row r="82" spans="4:6" s="29" customFormat="1">
      <c r="D82" s="28"/>
      <c r="E82" s="28"/>
      <c r="F82" s="28"/>
    </row>
    <row r="83" spans="4:6" s="29" customFormat="1">
      <c r="D83" s="28"/>
      <c r="E83" s="28"/>
      <c r="F83" s="28"/>
    </row>
    <row r="84" spans="4:6" s="29" customFormat="1">
      <c r="D84" s="28"/>
      <c r="E84" s="28"/>
      <c r="F84" s="28"/>
    </row>
    <row r="85" spans="4:6" s="29" customFormat="1">
      <c r="D85" s="28"/>
      <c r="E85" s="28"/>
      <c r="F85" s="28"/>
    </row>
    <row r="86" spans="4:6" s="29" customFormat="1">
      <c r="D86" s="28"/>
      <c r="E86" s="28"/>
      <c r="F86" s="28"/>
    </row>
    <row r="87" spans="4:6" s="29" customFormat="1">
      <c r="D87" s="28"/>
      <c r="E87" s="28"/>
      <c r="F87" s="28"/>
    </row>
    <row r="88" spans="4:6" s="29" customFormat="1">
      <c r="D88" s="28"/>
      <c r="E88" s="28"/>
      <c r="F88" s="28"/>
    </row>
    <row r="89" spans="4:6" s="29" customFormat="1">
      <c r="D89" s="28"/>
      <c r="E89" s="28"/>
      <c r="F89" s="28"/>
    </row>
    <row r="90" spans="4:6" s="29" customFormat="1">
      <c r="D90" s="28"/>
      <c r="E90" s="28"/>
      <c r="F90" s="28"/>
    </row>
    <row r="91" spans="4:6" s="29" customFormat="1">
      <c r="D91" s="28"/>
      <c r="E91" s="28"/>
      <c r="F91" s="28"/>
    </row>
    <row r="92" spans="4:6" s="29" customFormat="1">
      <c r="D92" s="28"/>
      <c r="E92" s="28"/>
      <c r="F92" s="28"/>
    </row>
    <row r="93" spans="4:6" s="29" customFormat="1">
      <c r="D93" s="28"/>
      <c r="E93" s="28"/>
      <c r="F93" s="28"/>
    </row>
    <row r="94" spans="4:6" s="29" customFormat="1">
      <c r="D94" s="28"/>
      <c r="E94" s="28"/>
      <c r="F94" s="28"/>
    </row>
    <row r="95" spans="4:6" s="29" customFormat="1">
      <c r="D95" s="28"/>
      <c r="E95" s="28"/>
      <c r="F95" s="28"/>
    </row>
    <row r="96" spans="4:6" s="29" customFormat="1">
      <c r="D96" s="28"/>
      <c r="E96" s="28"/>
      <c r="F96" s="28"/>
    </row>
    <row r="97" spans="4:6" s="29" customFormat="1">
      <c r="D97" s="28"/>
      <c r="E97" s="28"/>
      <c r="F97" s="28"/>
    </row>
    <row r="98" spans="4:6" s="29" customFormat="1">
      <c r="D98" s="28"/>
      <c r="E98" s="28"/>
      <c r="F98" s="28"/>
    </row>
    <row r="99" spans="4:6" s="29" customFormat="1">
      <c r="D99" s="28"/>
      <c r="E99" s="28"/>
      <c r="F99" s="28"/>
    </row>
    <row r="100" spans="4:6" s="29" customFormat="1">
      <c r="D100" s="28"/>
      <c r="E100" s="28"/>
      <c r="F100" s="28"/>
    </row>
    <row r="101" spans="4:6" s="29" customFormat="1">
      <c r="D101" s="28"/>
      <c r="E101" s="28"/>
      <c r="F101" s="28"/>
    </row>
    <row r="102" spans="4:6" s="29" customFormat="1">
      <c r="D102" s="28"/>
      <c r="E102" s="28"/>
      <c r="F102" s="28"/>
    </row>
    <row r="103" spans="4:6" s="29" customFormat="1">
      <c r="D103" s="28"/>
      <c r="E103" s="28"/>
      <c r="F103" s="28"/>
    </row>
    <row r="104" spans="4:6" s="29" customFormat="1">
      <c r="D104" s="28"/>
      <c r="E104" s="28"/>
      <c r="F104" s="28"/>
    </row>
    <row r="105" spans="4:6" s="29" customFormat="1">
      <c r="D105" s="28"/>
      <c r="E105" s="28"/>
      <c r="F105" s="28"/>
    </row>
    <row r="106" spans="4:6" s="29" customFormat="1">
      <c r="D106" s="28"/>
      <c r="E106" s="28"/>
      <c r="F106" s="28"/>
    </row>
    <row r="107" spans="4:6" s="29" customFormat="1">
      <c r="D107" s="28"/>
      <c r="E107" s="28"/>
      <c r="F107" s="28"/>
    </row>
    <row r="108" spans="4:6" s="29" customFormat="1">
      <c r="D108" s="28"/>
      <c r="E108" s="28"/>
      <c r="F108" s="28"/>
    </row>
    <row r="109" spans="4:6" s="29" customFormat="1">
      <c r="D109" s="28"/>
      <c r="E109" s="28"/>
      <c r="F109" s="28"/>
    </row>
    <row r="110" spans="4:6" s="29" customFormat="1">
      <c r="D110" s="28"/>
      <c r="E110" s="28"/>
      <c r="F110" s="28"/>
    </row>
    <row r="111" spans="4:6" s="29" customFormat="1">
      <c r="D111" s="28"/>
      <c r="E111" s="28"/>
      <c r="F111" s="28"/>
    </row>
    <row r="112" spans="4:6" s="29" customFormat="1">
      <c r="D112" s="28"/>
      <c r="E112" s="28"/>
      <c r="F112" s="28"/>
    </row>
    <row r="113" spans="4:6" s="29" customFormat="1">
      <c r="D113" s="28"/>
      <c r="E113" s="28"/>
      <c r="F113" s="28"/>
    </row>
    <row r="114" spans="4:6" s="29" customFormat="1">
      <c r="D114" s="28"/>
      <c r="E114" s="28"/>
      <c r="F114" s="28"/>
    </row>
    <row r="115" spans="4:6" s="29" customFormat="1">
      <c r="D115" s="28"/>
      <c r="E115" s="28"/>
      <c r="F115" s="28"/>
    </row>
    <row r="116" spans="4:6" s="29" customFormat="1">
      <c r="D116" s="28"/>
      <c r="E116" s="28"/>
      <c r="F116" s="28"/>
    </row>
    <row r="117" spans="4:6" s="29" customFormat="1">
      <c r="D117" s="28"/>
      <c r="E117" s="28"/>
      <c r="F117" s="28"/>
    </row>
    <row r="118" spans="4:6" s="29" customFormat="1">
      <c r="D118" s="28"/>
      <c r="E118" s="28"/>
      <c r="F118" s="28"/>
    </row>
    <row r="119" spans="4:6" s="29" customFormat="1">
      <c r="D119" s="28"/>
      <c r="E119" s="28"/>
      <c r="F119" s="28"/>
    </row>
    <row r="120" spans="4:6" s="29" customFormat="1">
      <c r="D120" s="28"/>
      <c r="E120" s="28"/>
      <c r="F120" s="28"/>
    </row>
    <row r="121" spans="4:6" s="29" customFormat="1">
      <c r="D121" s="28"/>
      <c r="E121" s="28"/>
      <c r="F121" s="28"/>
    </row>
    <row r="122" spans="4:6" s="29" customFormat="1">
      <c r="D122" s="28"/>
      <c r="E122" s="28"/>
      <c r="F122" s="28"/>
    </row>
    <row r="123" spans="4:6" s="29" customFormat="1">
      <c r="D123" s="28"/>
      <c r="E123" s="28"/>
      <c r="F123" s="28"/>
    </row>
    <row r="124" spans="4:6" s="29" customFormat="1">
      <c r="D124" s="28"/>
      <c r="E124" s="28"/>
      <c r="F124" s="28"/>
    </row>
    <row r="125" spans="4:6" s="29" customFormat="1">
      <c r="D125" s="28"/>
      <c r="E125" s="28"/>
      <c r="F125" s="28"/>
    </row>
    <row r="126" spans="4:6" s="29" customFormat="1">
      <c r="D126" s="28"/>
      <c r="E126" s="28"/>
      <c r="F126" s="28"/>
    </row>
    <row r="127" spans="4:6" s="29" customFormat="1">
      <c r="D127" s="28"/>
      <c r="E127" s="28"/>
      <c r="F127" s="28"/>
    </row>
    <row r="128" spans="4:6" s="29" customFormat="1">
      <c r="D128" s="28"/>
      <c r="E128" s="28"/>
      <c r="F128" s="28"/>
    </row>
    <row r="129" spans="4:6" s="29" customFormat="1">
      <c r="D129" s="28"/>
      <c r="E129" s="28"/>
      <c r="F129" s="28"/>
    </row>
    <row r="130" spans="4:6" s="29" customFormat="1">
      <c r="D130" s="28"/>
      <c r="E130" s="28"/>
      <c r="F130" s="28"/>
    </row>
    <row r="131" spans="4:6" s="29" customFormat="1">
      <c r="D131" s="28"/>
      <c r="E131" s="28"/>
      <c r="F131" s="28"/>
    </row>
    <row r="132" spans="4:6" s="29" customFormat="1">
      <c r="D132" s="28"/>
      <c r="E132" s="28"/>
      <c r="F132" s="28"/>
    </row>
    <row r="133" spans="4:6" s="29" customFormat="1">
      <c r="D133" s="28"/>
      <c r="E133" s="28"/>
      <c r="F133" s="28"/>
    </row>
    <row r="134" spans="4:6" s="29" customFormat="1">
      <c r="D134" s="28"/>
      <c r="E134" s="28"/>
      <c r="F134" s="28"/>
    </row>
    <row r="135" spans="4:6" s="29" customFormat="1">
      <c r="D135" s="28"/>
      <c r="E135" s="28"/>
      <c r="F135" s="28"/>
    </row>
    <row r="136" spans="4:6" s="29" customFormat="1">
      <c r="D136" s="28"/>
      <c r="E136" s="28"/>
      <c r="F136" s="28"/>
    </row>
    <row r="137" spans="4:6" s="29" customFormat="1">
      <c r="D137" s="28"/>
      <c r="E137" s="28"/>
      <c r="F137" s="28"/>
    </row>
    <row r="138" spans="4:6" s="29" customFormat="1">
      <c r="D138" s="28"/>
      <c r="E138" s="28"/>
      <c r="F138" s="28"/>
    </row>
    <row r="139" spans="4:6" s="29" customFormat="1">
      <c r="D139" s="28"/>
      <c r="E139" s="28"/>
      <c r="F139" s="28"/>
    </row>
    <row r="140" spans="4:6" s="29" customFormat="1">
      <c r="D140" s="28"/>
      <c r="E140" s="28"/>
      <c r="F140" s="28"/>
    </row>
    <row r="141" spans="4:6" s="29" customFormat="1">
      <c r="D141" s="28"/>
      <c r="E141" s="28"/>
      <c r="F141" s="28"/>
    </row>
    <row r="142" spans="4:6" s="29" customFormat="1">
      <c r="D142" s="28"/>
      <c r="E142" s="28"/>
      <c r="F142" s="28"/>
    </row>
    <row r="143" spans="4:6" s="29" customFormat="1">
      <c r="D143" s="28"/>
      <c r="E143" s="28"/>
      <c r="F143" s="28"/>
    </row>
    <row r="144" spans="4:6" s="29" customFormat="1">
      <c r="D144" s="28"/>
      <c r="E144" s="28"/>
      <c r="F144" s="28"/>
    </row>
    <row r="145" spans="4:6" s="29" customFormat="1">
      <c r="D145" s="28"/>
      <c r="E145" s="28"/>
      <c r="F145" s="28"/>
    </row>
    <row r="146" spans="4:6" s="29" customFormat="1">
      <c r="D146" s="28"/>
      <c r="E146" s="28"/>
      <c r="F146" s="28"/>
    </row>
    <row r="147" spans="4:6" s="29" customFormat="1">
      <c r="D147" s="28"/>
      <c r="E147" s="28"/>
      <c r="F147" s="28"/>
    </row>
    <row r="148" spans="4:6" s="29" customFormat="1">
      <c r="D148" s="28"/>
      <c r="E148" s="28"/>
      <c r="F148" s="28"/>
    </row>
    <row r="149" spans="4:6" s="29" customFormat="1">
      <c r="D149" s="28"/>
      <c r="E149" s="28"/>
      <c r="F149" s="28"/>
    </row>
    <row r="150" spans="4:6" s="29" customFormat="1">
      <c r="D150" s="28"/>
      <c r="E150" s="28"/>
      <c r="F150" s="28"/>
    </row>
    <row r="151" spans="4:6" s="29" customFormat="1">
      <c r="D151" s="28"/>
      <c r="E151" s="28"/>
      <c r="F151" s="28"/>
    </row>
    <row r="152" spans="4:6" s="29" customFormat="1">
      <c r="D152" s="28"/>
      <c r="E152" s="28"/>
      <c r="F152" s="28"/>
    </row>
    <row r="153" spans="4:6" s="29" customFormat="1">
      <c r="D153" s="28"/>
      <c r="E153" s="28"/>
      <c r="F153" s="28"/>
    </row>
    <row r="154" spans="4:6" s="29" customFormat="1">
      <c r="D154" s="28"/>
      <c r="E154" s="28"/>
      <c r="F154" s="28"/>
    </row>
    <row r="155" spans="4:6" s="29" customFormat="1">
      <c r="D155" s="28"/>
      <c r="E155" s="28"/>
      <c r="F155" s="28"/>
    </row>
    <row r="156" spans="4:6" s="29" customFormat="1">
      <c r="D156" s="28"/>
      <c r="E156" s="28"/>
      <c r="F156" s="28"/>
    </row>
    <row r="157" spans="4:6" s="29" customFormat="1">
      <c r="D157" s="28"/>
      <c r="E157" s="28"/>
      <c r="F157" s="28"/>
    </row>
    <row r="158" spans="4:6" s="29" customFormat="1">
      <c r="D158" s="28"/>
      <c r="E158" s="28"/>
      <c r="F158" s="28"/>
    </row>
    <row r="159" spans="4:6" s="29" customFormat="1">
      <c r="D159" s="28"/>
      <c r="E159" s="28"/>
      <c r="F159" s="28"/>
    </row>
    <row r="160" spans="4:6" s="29" customFormat="1">
      <c r="D160" s="28"/>
      <c r="E160" s="28"/>
      <c r="F160" s="28"/>
    </row>
    <row r="161" spans="4:6" s="29" customFormat="1">
      <c r="D161" s="28"/>
      <c r="E161" s="28"/>
      <c r="F161" s="28"/>
    </row>
    <row r="162" spans="4:6" s="29" customFormat="1">
      <c r="D162" s="28"/>
      <c r="E162" s="28"/>
      <c r="F162" s="28"/>
    </row>
    <row r="163" spans="4:6" s="29" customFormat="1">
      <c r="D163" s="28"/>
      <c r="E163" s="28"/>
      <c r="F163" s="28"/>
    </row>
    <row r="164" spans="4:6" s="29" customFormat="1">
      <c r="D164" s="28"/>
      <c r="E164" s="28"/>
      <c r="F164" s="28"/>
    </row>
    <row r="165" spans="4:6" s="29" customFormat="1">
      <c r="D165" s="28"/>
      <c r="E165" s="28"/>
      <c r="F165" s="28"/>
    </row>
    <row r="166" spans="4:6" s="29" customFormat="1">
      <c r="D166" s="28"/>
      <c r="E166" s="28"/>
      <c r="F166" s="28"/>
    </row>
    <row r="167" spans="4:6" s="29" customFormat="1">
      <c r="D167" s="28"/>
      <c r="E167" s="28"/>
      <c r="F167" s="28"/>
    </row>
    <row r="168" spans="4:6" s="29" customFormat="1">
      <c r="D168" s="28"/>
      <c r="E168" s="28"/>
      <c r="F168" s="28"/>
    </row>
    <row r="169" spans="4:6" s="29" customFormat="1">
      <c r="D169" s="28"/>
      <c r="E169" s="28"/>
      <c r="F169" s="28"/>
    </row>
    <row r="170" spans="4:6" s="29" customFormat="1">
      <c r="D170" s="28"/>
      <c r="E170" s="28"/>
      <c r="F170" s="28"/>
    </row>
    <row r="171" spans="4:6" s="29" customFormat="1">
      <c r="D171" s="28"/>
      <c r="E171" s="28"/>
      <c r="F171" s="28"/>
    </row>
    <row r="172" spans="4:6" s="29" customFormat="1">
      <c r="D172" s="28"/>
      <c r="E172" s="28"/>
      <c r="F172" s="28"/>
    </row>
    <row r="173" spans="4:6" s="29" customFormat="1">
      <c r="D173" s="28"/>
      <c r="E173" s="28"/>
      <c r="F173" s="28"/>
    </row>
    <row r="174" spans="4:6" s="29" customFormat="1">
      <c r="D174" s="28"/>
      <c r="E174" s="28"/>
      <c r="F174" s="28"/>
    </row>
    <row r="175" spans="4:6" s="29" customFormat="1">
      <c r="D175" s="28"/>
      <c r="E175" s="28"/>
      <c r="F175" s="28"/>
    </row>
    <row r="176" spans="4:6" s="29" customFormat="1">
      <c r="D176" s="28"/>
      <c r="E176" s="28"/>
      <c r="F176" s="28"/>
    </row>
    <row r="177" spans="4:6" s="29" customFormat="1">
      <c r="D177" s="28"/>
      <c r="E177" s="28"/>
      <c r="F177" s="28"/>
    </row>
    <row r="178" spans="4:6" s="29" customFormat="1">
      <c r="D178" s="28"/>
      <c r="E178" s="28"/>
      <c r="F178" s="28"/>
    </row>
    <row r="179" spans="4:6" s="29" customFormat="1">
      <c r="D179" s="28"/>
      <c r="E179" s="28"/>
      <c r="F179" s="28"/>
    </row>
    <row r="180" spans="4:6" s="29" customFormat="1">
      <c r="D180" s="28"/>
      <c r="E180" s="28"/>
      <c r="F180" s="28"/>
    </row>
    <row r="181" spans="4:6" s="29" customFormat="1">
      <c r="D181" s="28"/>
      <c r="E181" s="28"/>
      <c r="F181" s="28"/>
    </row>
    <row r="182" spans="4:6" s="29" customFormat="1">
      <c r="D182" s="28"/>
      <c r="E182" s="28"/>
      <c r="F182" s="28"/>
    </row>
    <row r="183" spans="4:6" s="29" customFormat="1">
      <c r="D183" s="28"/>
      <c r="E183" s="28"/>
      <c r="F183" s="28"/>
    </row>
    <row r="184" spans="4:6" s="29" customFormat="1">
      <c r="D184" s="28"/>
      <c r="E184" s="28"/>
      <c r="F184" s="28"/>
    </row>
    <row r="185" spans="4:6" s="29" customFormat="1">
      <c r="D185" s="28"/>
      <c r="E185" s="28"/>
      <c r="F185" s="28"/>
    </row>
    <row r="186" spans="4:6" s="29" customFormat="1">
      <c r="D186" s="28"/>
      <c r="E186" s="28"/>
      <c r="F186" s="28"/>
    </row>
    <row r="187" spans="4:6" s="29" customFormat="1">
      <c r="D187" s="28"/>
      <c r="E187" s="28"/>
      <c r="F187" s="28"/>
    </row>
    <row r="188" spans="4:6" s="29" customFormat="1">
      <c r="D188" s="28"/>
      <c r="E188" s="28"/>
      <c r="F188" s="28"/>
    </row>
    <row r="189" spans="4:6" s="29" customFormat="1">
      <c r="D189" s="28"/>
      <c r="E189" s="28"/>
      <c r="F189" s="28"/>
    </row>
    <row r="190" spans="4:6" s="29" customFormat="1">
      <c r="D190" s="28"/>
      <c r="E190" s="28"/>
      <c r="F190" s="28"/>
    </row>
    <row r="191" spans="4:6" s="29" customFormat="1">
      <c r="D191" s="28"/>
      <c r="E191" s="28"/>
      <c r="F191" s="28"/>
    </row>
    <row r="192" spans="4:6" s="29" customFormat="1">
      <c r="D192" s="28"/>
      <c r="E192" s="28"/>
      <c r="F192" s="28"/>
    </row>
    <row r="193" spans="4:6" s="29" customFormat="1">
      <c r="D193" s="28"/>
      <c r="E193" s="28"/>
      <c r="F193" s="28"/>
    </row>
    <row r="194" spans="4:6" s="29" customFormat="1">
      <c r="D194" s="28"/>
      <c r="E194" s="28"/>
      <c r="F194" s="28"/>
    </row>
    <row r="195" spans="4:6" s="29" customFormat="1">
      <c r="D195" s="28"/>
      <c r="E195" s="28"/>
      <c r="F195" s="28"/>
    </row>
    <row r="196" spans="4:6" s="29" customFormat="1">
      <c r="D196" s="28"/>
      <c r="E196" s="28"/>
      <c r="F196" s="28"/>
    </row>
    <row r="197" spans="4:6" s="29" customFormat="1">
      <c r="D197" s="28"/>
      <c r="E197" s="28"/>
      <c r="F197" s="28"/>
    </row>
    <row r="198" spans="4:6" s="29" customFormat="1">
      <c r="D198" s="28"/>
      <c r="E198" s="28"/>
      <c r="F198" s="28"/>
    </row>
    <row r="199" spans="4:6" s="29" customFormat="1">
      <c r="D199" s="28"/>
      <c r="E199" s="28"/>
      <c r="F199" s="28"/>
    </row>
    <row r="200" spans="4:6" s="29" customFormat="1">
      <c r="D200" s="28"/>
      <c r="E200" s="28"/>
      <c r="F200" s="28"/>
    </row>
    <row r="201" spans="4:6" s="29" customFormat="1">
      <c r="D201" s="28"/>
      <c r="E201" s="28"/>
      <c r="F201" s="28"/>
    </row>
    <row r="202" spans="4:6" s="29" customFormat="1">
      <c r="D202" s="28"/>
      <c r="E202" s="28"/>
      <c r="F202" s="28"/>
    </row>
    <row r="203" spans="4:6" s="29" customFormat="1">
      <c r="D203" s="28"/>
      <c r="E203" s="28"/>
      <c r="F203" s="28"/>
    </row>
    <row r="204" spans="4:6" s="29" customFormat="1">
      <c r="D204" s="28"/>
      <c r="E204" s="28"/>
      <c r="F204" s="28"/>
    </row>
    <row r="205" spans="4:6" s="29" customFormat="1">
      <c r="D205" s="28"/>
      <c r="E205" s="28"/>
      <c r="F205" s="28"/>
    </row>
    <row r="206" spans="4:6" s="29" customFormat="1">
      <c r="D206" s="28"/>
      <c r="E206" s="28"/>
      <c r="F206" s="28"/>
    </row>
    <row r="207" spans="4:6" s="29" customFormat="1">
      <c r="D207" s="28"/>
      <c r="E207" s="28"/>
      <c r="F207" s="28"/>
    </row>
    <row r="208" spans="4:6" s="29" customFormat="1">
      <c r="D208" s="28"/>
      <c r="E208" s="28"/>
      <c r="F208" s="28"/>
    </row>
    <row r="209" spans="4:6" s="29" customFormat="1">
      <c r="D209" s="28"/>
      <c r="E209" s="28"/>
      <c r="F209" s="28"/>
    </row>
    <row r="210" spans="4:6" s="29" customFormat="1">
      <c r="D210" s="28"/>
      <c r="E210" s="28"/>
      <c r="F210" s="28"/>
    </row>
    <row r="211" spans="4:6" s="29" customFormat="1">
      <c r="D211" s="28"/>
      <c r="E211" s="28"/>
      <c r="F211" s="28"/>
    </row>
    <row r="212" spans="4:6" s="29" customFormat="1">
      <c r="D212" s="28"/>
      <c r="E212" s="28"/>
      <c r="F212" s="28"/>
    </row>
    <row r="213" spans="4:6" s="29" customFormat="1">
      <c r="D213" s="28"/>
      <c r="E213" s="28"/>
      <c r="F213" s="28"/>
    </row>
    <row r="214" spans="4:6" s="29" customFormat="1">
      <c r="D214" s="28"/>
      <c r="E214" s="28"/>
      <c r="F214" s="28"/>
    </row>
    <row r="215" spans="4:6" s="29" customFormat="1">
      <c r="D215" s="28"/>
      <c r="E215" s="28"/>
      <c r="F215" s="28"/>
    </row>
    <row r="216" spans="4:6" s="29" customFormat="1">
      <c r="D216" s="28"/>
      <c r="E216" s="28"/>
      <c r="F216" s="28"/>
    </row>
    <row r="217" spans="4:6" s="29" customFormat="1">
      <c r="D217" s="28"/>
      <c r="E217" s="28"/>
      <c r="F217" s="28"/>
    </row>
    <row r="218" spans="4:6" s="29" customFormat="1">
      <c r="D218" s="28"/>
      <c r="E218" s="28"/>
      <c r="F218" s="28"/>
    </row>
    <row r="219" spans="4:6" s="29" customFormat="1">
      <c r="D219" s="28"/>
      <c r="E219" s="28"/>
      <c r="F219" s="28"/>
    </row>
    <row r="220" spans="4:6" s="29" customFormat="1">
      <c r="D220" s="28"/>
      <c r="E220" s="28"/>
      <c r="F220" s="28"/>
    </row>
    <row r="221" spans="4:6" s="29" customFormat="1">
      <c r="D221" s="28"/>
      <c r="E221" s="28"/>
      <c r="F221" s="28"/>
    </row>
    <row r="222" spans="4:6" s="29" customFormat="1">
      <c r="D222" s="28"/>
      <c r="E222" s="28"/>
      <c r="F222" s="28"/>
    </row>
    <row r="223" spans="4:6" s="29" customFormat="1">
      <c r="D223" s="28"/>
      <c r="E223" s="28"/>
      <c r="F223" s="28"/>
    </row>
    <row r="224" spans="4:6" s="29" customFormat="1">
      <c r="D224" s="28"/>
      <c r="E224" s="28"/>
      <c r="F224" s="28"/>
    </row>
    <row r="225" spans="4:6" s="29" customFormat="1">
      <c r="D225" s="28"/>
      <c r="E225" s="28"/>
      <c r="F225" s="28"/>
    </row>
    <row r="226" spans="4:6" s="29" customFormat="1">
      <c r="D226" s="28"/>
      <c r="E226" s="28"/>
      <c r="F226" s="28"/>
    </row>
    <row r="227" spans="4:6" s="29" customFormat="1">
      <c r="D227" s="28"/>
      <c r="E227" s="28"/>
      <c r="F227" s="28"/>
    </row>
    <row r="228" spans="4:6" s="29" customFormat="1">
      <c r="D228" s="28"/>
      <c r="E228" s="28"/>
      <c r="F228" s="28"/>
    </row>
    <row r="229" spans="4:6" s="29" customFormat="1">
      <c r="D229" s="28"/>
      <c r="E229" s="28"/>
      <c r="F229" s="28"/>
    </row>
    <row r="230" spans="4:6" s="29" customFormat="1">
      <c r="D230" s="28"/>
      <c r="E230" s="28"/>
      <c r="F230" s="28"/>
    </row>
    <row r="231" spans="4:6" s="29" customFormat="1">
      <c r="D231" s="28"/>
      <c r="E231" s="28"/>
      <c r="F231" s="28"/>
    </row>
  </sheetData>
  <mergeCells count="2">
    <mergeCell ref="A2:C2"/>
    <mergeCell ref="B19:B21"/>
  </mergeCells>
  <conditionalFormatting sqref="A6:E6">
    <cfRule type="expression" dxfId="281" priority="33">
      <formula>$C$6&lt;&gt;$B$6</formula>
    </cfRule>
    <cfRule type="expression" dxfId="280" priority="32">
      <formula>$C$6="NO VA HOY"</formula>
    </cfRule>
    <cfRule type="expression" dxfId="279" priority="31">
      <formula>$B$6=0</formula>
    </cfRule>
  </conditionalFormatting>
  <conditionalFormatting sqref="A7:E7">
    <cfRule type="expression" dxfId="278" priority="30">
      <formula>$C$7&lt;&gt;$B$7</formula>
    </cfRule>
    <cfRule type="expression" dxfId="277" priority="29">
      <formula>$C$7="NO VA HOY"</formula>
    </cfRule>
    <cfRule type="expression" dxfId="276" priority="28">
      <formula>$B$7=0</formula>
    </cfRule>
  </conditionalFormatting>
  <conditionalFormatting sqref="A8:E8">
    <cfRule type="expression" dxfId="275" priority="27">
      <formula>$C$8&lt;&gt;$B$8</formula>
    </cfRule>
    <cfRule type="expression" dxfId="274" priority="26">
      <formula>$C$8="NO VA HOY"</formula>
    </cfRule>
    <cfRule type="expression" dxfId="273" priority="25">
      <formula>$B$8=0</formula>
    </cfRule>
  </conditionalFormatting>
  <conditionalFormatting sqref="A9:E9">
    <cfRule type="expression" dxfId="272" priority="24">
      <formula>$C$9&lt;&gt;$B$9</formula>
    </cfRule>
    <cfRule type="expression" dxfId="271" priority="23">
      <formula>$C$9="NO VA HOY"</formula>
    </cfRule>
    <cfRule type="expression" dxfId="270" priority="22">
      <formula>$B$9=0</formula>
    </cfRule>
  </conditionalFormatting>
  <conditionalFormatting sqref="A10:E10">
    <cfRule type="expression" dxfId="269" priority="21">
      <formula>$C$10&lt;&gt;$B$10</formula>
    </cfRule>
    <cfRule type="expression" dxfId="268" priority="20">
      <formula>$C$10="NO VA HOY"</formula>
    </cfRule>
    <cfRule type="expression" dxfId="267" priority="19">
      <formula>$B$10=0</formula>
    </cfRule>
  </conditionalFormatting>
  <conditionalFormatting sqref="A11:E11">
    <cfRule type="expression" dxfId="266" priority="18">
      <formula>$C$11&lt;&gt;$B$11</formula>
    </cfRule>
    <cfRule type="expression" dxfId="265" priority="17">
      <formula>$C$11="NO VA HOY"</formula>
    </cfRule>
    <cfRule type="expression" dxfId="264" priority="16">
      <formula>$B$11=0</formula>
    </cfRule>
  </conditionalFormatting>
  <conditionalFormatting sqref="A12:E12">
    <cfRule type="expression" dxfId="263" priority="15">
      <formula>$C$12&lt;&gt;$B$12</formula>
    </cfRule>
    <cfRule type="expression" dxfId="262" priority="14">
      <formula>$C$12="NO VA HOY"</formula>
    </cfRule>
    <cfRule type="expression" dxfId="261" priority="13">
      <formula>$B$12=0</formula>
    </cfRule>
  </conditionalFormatting>
  <conditionalFormatting sqref="A13:E13">
    <cfRule type="expression" dxfId="260" priority="12">
      <formula>$C$13&lt;&gt;$B$13</formula>
    </cfRule>
    <cfRule type="expression" dxfId="259" priority="11">
      <formula>$C$13="NO VA HOY"</formula>
    </cfRule>
    <cfRule type="expression" dxfId="258" priority="10">
      <formula>$B$13=0</formula>
    </cfRule>
  </conditionalFormatting>
  <conditionalFormatting sqref="A14:E14">
    <cfRule type="expression" dxfId="257" priority="9">
      <formula>$C$14&lt;&gt;$B$14</formula>
    </cfRule>
    <cfRule type="expression" dxfId="256" priority="8">
      <formula>$C$14="NO VA HOY"</formula>
    </cfRule>
    <cfRule type="expression" dxfId="255" priority="7">
      <formula>$B$14=0</formula>
    </cfRule>
  </conditionalFormatting>
  <conditionalFormatting sqref="A15:E15">
    <cfRule type="expression" dxfId="254" priority="6">
      <formula>$C$15&lt;&gt;$B$15</formula>
    </cfRule>
    <cfRule type="expression" dxfId="253" priority="5">
      <formula>$C$15="NO VA HOY"</formula>
    </cfRule>
    <cfRule type="expression" dxfId="252" priority="4">
      <formula>$B$15=0</formula>
    </cfRule>
  </conditionalFormatting>
  <conditionalFormatting sqref="A16:E16">
    <cfRule type="expression" dxfId="251" priority="3">
      <formula>$C$16&lt;&gt;$B$16</formula>
    </cfRule>
    <cfRule type="expression" dxfId="250" priority="2">
      <formula>$C$16="NO VA HOY"</formula>
    </cfRule>
    <cfRule type="expression" dxfId="249" priority="1">
      <formula>$B$16=0</formula>
    </cfRule>
  </conditionalFormatting>
  <pageMargins left="0.7" right="0.7" top="0.75" bottom="0.75" header="0.3" footer="0.3"/>
  <pageSetup paperSize="9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1:F231"/>
  <sheetViews>
    <sheetView workbookViewId="0">
      <selection activeCell="A5" sqref="A5:E16"/>
    </sheetView>
  </sheetViews>
  <sheetFormatPr defaultColWidth="11.42578125" defaultRowHeight="12"/>
  <cols>
    <col min="1" max="1" width="35.7109375" style="17" bestFit="1" customWidth="1"/>
    <col min="2" max="2" width="11.42578125" style="17" bestFit="1" customWidth="1"/>
    <col min="3" max="3" width="15.42578125" style="17" bestFit="1" customWidth="1"/>
    <col min="4" max="4" width="31.28515625" style="16" bestFit="1" customWidth="1"/>
    <col min="5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446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259</v>
      </c>
      <c r="B6" s="60">
        <v>5</v>
      </c>
      <c r="C6" s="60">
        <v>5</v>
      </c>
      <c r="D6" s="61" t="s">
        <v>257</v>
      </c>
      <c r="E6" s="61" t="s">
        <v>258</v>
      </c>
      <c r="F6" s="28"/>
    </row>
    <row r="7" spans="1:6" s="29" customFormat="1">
      <c r="A7" s="60" t="s">
        <v>270</v>
      </c>
      <c r="B7" s="60">
        <v>6</v>
      </c>
      <c r="C7" s="60">
        <v>6</v>
      </c>
      <c r="D7" s="61" t="s">
        <v>268</v>
      </c>
      <c r="E7" s="61" t="s">
        <v>269</v>
      </c>
      <c r="F7" s="28"/>
    </row>
    <row r="8" spans="1:6" s="29" customFormat="1">
      <c r="A8" s="60" t="s">
        <v>131</v>
      </c>
      <c r="B8" s="60">
        <v>3</v>
      </c>
      <c r="C8" s="60">
        <v>3</v>
      </c>
      <c r="D8" s="61" t="s">
        <v>132</v>
      </c>
      <c r="E8" s="61" t="s">
        <v>133</v>
      </c>
      <c r="F8" s="28"/>
    </row>
    <row r="9" spans="1:6" s="29" customFormat="1">
      <c r="A9" s="60" t="s">
        <v>330</v>
      </c>
      <c r="B9" s="60">
        <v>6</v>
      </c>
      <c r="C9" s="60">
        <v>6</v>
      </c>
      <c r="D9" s="61">
        <v>666434231</v>
      </c>
      <c r="E9" s="61">
        <v>600772781</v>
      </c>
      <c r="F9" s="28"/>
    </row>
    <row r="10" spans="1:6" s="29" customFormat="1">
      <c r="A10" s="60" t="s">
        <v>357</v>
      </c>
      <c r="B10" s="60">
        <v>7</v>
      </c>
      <c r="C10" s="60">
        <v>7</v>
      </c>
      <c r="D10" s="61" t="s">
        <v>358</v>
      </c>
      <c r="E10" s="61" t="s">
        <v>359</v>
      </c>
      <c r="F10" s="28"/>
    </row>
    <row r="11" spans="1:6" s="29" customFormat="1">
      <c r="A11" s="60" t="s">
        <v>51</v>
      </c>
      <c r="B11" s="60">
        <v>1</v>
      </c>
      <c r="C11" s="60">
        <v>1</v>
      </c>
      <c r="D11" s="61" t="s">
        <v>52</v>
      </c>
      <c r="E11" s="61" t="s">
        <v>53</v>
      </c>
      <c r="F11" s="28"/>
    </row>
    <row r="12" spans="1:6" s="29" customFormat="1">
      <c r="A12" s="60" t="s">
        <v>66</v>
      </c>
      <c r="B12" s="60">
        <v>1</v>
      </c>
      <c r="C12" s="60">
        <v>1</v>
      </c>
      <c r="D12" s="61" t="s">
        <v>67</v>
      </c>
      <c r="E12" s="61" t="s">
        <v>68</v>
      </c>
      <c r="F12" s="28"/>
    </row>
    <row r="13" spans="1:6" s="29" customFormat="1">
      <c r="A13" s="60" t="s">
        <v>247</v>
      </c>
      <c r="B13" s="60">
        <v>5</v>
      </c>
      <c r="C13" s="60">
        <v>5</v>
      </c>
      <c r="D13" s="61">
        <v>619115659</v>
      </c>
      <c r="E13" s="61">
        <v>646833787</v>
      </c>
      <c r="F13" s="28"/>
    </row>
    <row r="14" spans="1:6" s="29" customFormat="1">
      <c r="A14" s="60" t="s">
        <v>327</v>
      </c>
      <c r="B14" s="60">
        <v>6</v>
      </c>
      <c r="C14" s="60">
        <v>6</v>
      </c>
      <c r="D14" s="61">
        <v>609489443</v>
      </c>
      <c r="E14" s="61">
        <v>697908660</v>
      </c>
      <c r="F14" s="28"/>
    </row>
    <row r="15" spans="1:6" s="29" customFormat="1">
      <c r="A15" s="60" t="s">
        <v>328</v>
      </c>
      <c r="B15" s="60">
        <v>6</v>
      </c>
      <c r="C15" s="60">
        <v>6</v>
      </c>
      <c r="D15" s="61">
        <v>659029295</v>
      </c>
      <c r="E15" s="61">
        <v>646810869</v>
      </c>
      <c r="F15" s="28"/>
    </row>
    <row r="16" spans="1:6" s="29" customFormat="1">
      <c r="A16" s="60" t="s">
        <v>272</v>
      </c>
      <c r="B16" s="60">
        <v>6</v>
      </c>
      <c r="C16" s="60">
        <v>6</v>
      </c>
      <c r="D16" s="61" t="s">
        <v>273</v>
      </c>
      <c r="E16" s="61" t="s">
        <v>274</v>
      </c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55" t="s">
        <v>455</v>
      </c>
      <c r="C19" s="56" t="s">
        <v>456</v>
      </c>
      <c r="D19" s="41"/>
      <c r="E19" s="41"/>
      <c r="F19" s="28"/>
    </row>
    <row r="20" spans="1:6" s="29" customFormat="1">
      <c r="A20" s="40"/>
      <c r="B20" s="55"/>
      <c r="C20" s="57" t="s">
        <v>457</v>
      </c>
      <c r="D20" s="41"/>
      <c r="E20" s="41"/>
      <c r="F20" s="28"/>
    </row>
    <row r="21" spans="1:6" s="29" customFormat="1">
      <c r="A21" s="40"/>
      <c r="B21" s="55"/>
      <c r="C21" s="58" t="s">
        <v>458</v>
      </c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9:B21"/>
  </mergeCells>
  <conditionalFormatting sqref="A6:E6">
    <cfRule type="expression" dxfId="248" priority="33">
      <formula>$C$6&lt;&gt;$B$6</formula>
    </cfRule>
    <cfRule type="expression" dxfId="247" priority="32">
      <formula>$C$6="NO VA HOY"</formula>
    </cfRule>
    <cfRule type="expression" dxfId="246" priority="31">
      <formula>$B$6=0</formula>
    </cfRule>
  </conditionalFormatting>
  <conditionalFormatting sqref="A7:E7">
    <cfRule type="expression" dxfId="245" priority="30">
      <formula>$C$7&lt;&gt;$B$7</formula>
    </cfRule>
    <cfRule type="expression" dxfId="244" priority="29">
      <formula>$C$7="NO VA HOY"</formula>
    </cfRule>
    <cfRule type="expression" dxfId="243" priority="28">
      <formula>$B$7=0</formula>
    </cfRule>
  </conditionalFormatting>
  <conditionalFormatting sqref="A8:E8">
    <cfRule type="expression" dxfId="242" priority="27">
      <formula>$C$8&lt;&gt;$B$8</formula>
    </cfRule>
    <cfRule type="expression" dxfId="241" priority="26">
      <formula>$C$8="NO VA HOY"</formula>
    </cfRule>
    <cfRule type="expression" dxfId="240" priority="25">
      <formula>$B$8=0</formula>
    </cfRule>
  </conditionalFormatting>
  <conditionalFormatting sqref="A9:E9">
    <cfRule type="expression" dxfId="239" priority="24">
      <formula>$C$9&lt;&gt;$B$9</formula>
    </cfRule>
    <cfRule type="expression" dxfId="238" priority="23">
      <formula>$C$9="NO VA HOY"</formula>
    </cfRule>
    <cfRule type="expression" dxfId="237" priority="22">
      <formula>$B$9=0</formula>
    </cfRule>
  </conditionalFormatting>
  <conditionalFormatting sqref="A10:E10">
    <cfRule type="expression" dxfId="236" priority="21">
      <formula>$C$10&lt;&gt;$B$10</formula>
    </cfRule>
    <cfRule type="expression" dxfId="235" priority="20">
      <formula>$C$10="NO VA HOY"</formula>
    </cfRule>
    <cfRule type="expression" dxfId="234" priority="19">
      <formula>$B$10=0</formula>
    </cfRule>
  </conditionalFormatting>
  <conditionalFormatting sqref="A11:E11">
    <cfRule type="expression" dxfId="233" priority="18">
      <formula>$C$11&lt;&gt;$B$11</formula>
    </cfRule>
    <cfRule type="expression" dxfId="232" priority="17">
      <formula>$C$11="NO VA HOY"</formula>
    </cfRule>
    <cfRule type="expression" dxfId="231" priority="16">
      <formula>$B$11=0</formula>
    </cfRule>
  </conditionalFormatting>
  <conditionalFormatting sqref="A12:E12">
    <cfRule type="expression" dxfId="230" priority="15">
      <formula>$C$12&lt;&gt;$B$12</formula>
    </cfRule>
    <cfRule type="expression" dxfId="229" priority="14">
      <formula>$C$12="NO VA HOY"</formula>
    </cfRule>
    <cfRule type="expression" dxfId="228" priority="13">
      <formula>$B$12=0</formula>
    </cfRule>
  </conditionalFormatting>
  <conditionalFormatting sqref="A13:E13">
    <cfRule type="expression" dxfId="227" priority="12">
      <formula>$C$13&lt;&gt;$B$13</formula>
    </cfRule>
    <cfRule type="expression" dxfId="226" priority="11">
      <formula>$C$13="NO VA HOY"</formula>
    </cfRule>
    <cfRule type="expression" dxfId="225" priority="10">
      <formula>$B$13=0</formula>
    </cfRule>
  </conditionalFormatting>
  <conditionalFormatting sqref="A14:E14">
    <cfRule type="expression" dxfId="224" priority="9">
      <formula>$C$14&lt;&gt;$B$14</formula>
    </cfRule>
    <cfRule type="expression" dxfId="223" priority="8">
      <formula>$C$14="NO VA HOY"</formula>
    </cfRule>
    <cfRule type="expression" dxfId="222" priority="7">
      <formula>$B$14=0</formula>
    </cfRule>
  </conditionalFormatting>
  <conditionalFormatting sqref="A15:E15">
    <cfRule type="expression" dxfId="221" priority="6">
      <formula>$C$15&lt;&gt;$B$15</formula>
    </cfRule>
    <cfRule type="expression" dxfId="220" priority="5">
      <formula>$C$15="NO VA HOY"</formula>
    </cfRule>
    <cfRule type="expression" dxfId="219" priority="4">
      <formula>$B$15=0</formula>
    </cfRule>
  </conditionalFormatting>
  <conditionalFormatting sqref="A16:E16">
    <cfRule type="expression" dxfId="218" priority="3">
      <formula>$C$16&lt;&gt;$B$16</formula>
    </cfRule>
    <cfRule type="expression" dxfId="217" priority="2">
      <formula>$C$16="NO VA HOY"</formula>
    </cfRule>
    <cfRule type="expression" dxfId="216" priority="1">
      <formula>$B$16=0</formula>
    </cfRule>
  </conditionalFormatting>
  <pageMargins left="0.7" right="0.7" top="0.75" bottom="0.75" header="0.3" footer="0.3"/>
  <pageSetup paperSize="9" orientation="landscape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F231"/>
  <sheetViews>
    <sheetView zoomScaleNormal="100" workbookViewId="0">
      <selection activeCell="A5" sqref="A5:E12"/>
    </sheetView>
  </sheetViews>
  <sheetFormatPr defaultColWidth="11.42578125" defaultRowHeight="12"/>
  <cols>
    <col min="1" max="1" width="31.285156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447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297</v>
      </c>
      <c r="B6" s="60">
        <v>6</v>
      </c>
      <c r="C6" s="60">
        <v>6</v>
      </c>
      <c r="D6" s="61">
        <v>649453295</v>
      </c>
      <c r="E6" s="61">
        <v>649967088</v>
      </c>
      <c r="F6" s="28"/>
    </row>
    <row r="7" spans="1:6" s="29" customFormat="1">
      <c r="A7" s="60" t="s">
        <v>87</v>
      </c>
      <c r="B7" s="60">
        <v>2</v>
      </c>
      <c r="C7" s="60">
        <v>2</v>
      </c>
      <c r="D7" s="61">
        <v>650581254</v>
      </c>
      <c r="E7" s="61">
        <v>669506241</v>
      </c>
      <c r="F7" s="28"/>
    </row>
    <row r="8" spans="1:6" s="29" customFormat="1">
      <c r="A8" s="60" t="s">
        <v>256</v>
      </c>
      <c r="B8" s="60">
        <v>5</v>
      </c>
      <c r="C8" s="60">
        <v>5</v>
      </c>
      <c r="D8" s="61" t="s">
        <v>257</v>
      </c>
      <c r="E8" s="61" t="s">
        <v>258</v>
      </c>
      <c r="F8" s="28"/>
    </row>
    <row r="9" spans="1:6" s="29" customFormat="1">
      <c r="A9" s="60" t="s">
        <v>202</v>
      </c>
      <c r="B9" s="60">
        <v>4</v>
      </c>
      <c r="C9" s="60">
        <v>4</v>
      </c>
      <c r="D9" s="61" t="s">
        <v>453</v>
      </c>
      <c r="E9" s="61" t="s">
        <v>452</v>
      </c>
      <c r="F9" s="28"/>
    </row>
    <row r="10" spans="1:6" s="29" customFormat="1">
      <c r="A10" s="60" t="s">
        <v>114</v>
      </c>
      <c r="B10" s="60">
        <v>2</v>
      </c>
      <c r="C10" s="60">
        <v>2</v>
      </c>
      <c r="D10" s="61" t="s">
        <v>115</v>
      </c>
      <c r="E10" s="61" t="s">
        <v>116</v>
      </c>
      <c r="F10" s="28"/>
    </row>
    <row r="11" spans="1:6" s="29" customFormat="1">
      <c r="A11" s="60" t="s">
        <v>382</v>
      </c>
      <c r="B11" s="60">
        <v>7</v>
      </c>
      <c r="C11" s="60">
        <v>7</v>
      </c>
      <c r="D11" s="61" t="s">
        <v>383</v>
      </c>
      <c r="E11" s="61" t="s">
        <v>384</v>
      </c>
      <c r="F11" s="28"/>
    </row>
    <row r="12" spans="1:6" s="29" customFormat="1">
      <c r="A12" s="60" t="s">
        <v>210</v>
      </c>
      <c r="B12" s="60">
        <v>4</v>
      </c>
      <c r="C12" s="60">
        <v>4</v>
      </c>
      <c r="D12" s="61" t="s">
        <v>211</v>
      </c>
      <c r="E12" s="61" t="s">
        <v>212</v>
      </c>
      <c r="F12" s="28"/>
    </row>
    <row r="13" spans="1:6" s="29" customFormat="1">
      <c r="A13" s="40"/>
      <c r="B13" s="40"/>
      <c r="C13" s="40"/>
      <c r="D13" s="41"/>
      <c r="E13" s="41"/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55" t="s">
        <v>455</v>
      </c>
      <c r="C15" s="56" t="s">
        <v>456</v>
      </c>
      <c r="D15" s="41"/>
      <c r="E15" s="41"/>
      <c r="F15" s="28"/>
    </row>
    <row r="16" spans="1:6" s="29" customFormat="1">
      <c r="A16" s="40"/>
      <c r="B16" s="55"/>
      <c r="C16" s="57" t="s">
        <v>457</v>
      </c>
      <c r="D16" s="41"/>
      <c r="E16" s="41"/>
      <c r="F16" s="28"/>
    </row>
    <row r="17" spans="1:6" s="29" customFormat="1">
      <c r="A17" s="40"/>
      <c r="B17" s="55"/>
      <c r="C17" s="58" t="s">
        <v>458</v>
      </c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5:B17"/>
  </mergeCells>
  <conditionalFormatting sqref="A6:E6">
    <cfRule type="expression" dxfId="215" priority="21">
      <formula>$C$6&lt;&gt;$B$6</formula>
    </cfRule>
    <cfRule type="expression" dxfId="214" priority="20">
      <formula>$C$6="NO VA HOY"</formula>
    </cfRule>
    <cfRule type="expression" dxfId="213" priority="19">
      <formula>$B$6=0</formula>
    </cfRule>
  </conditionalFormatting>
  <conditionalFormatting sqref="A7:E7">
    <cfRule type="expression" dxfId="212" priority="18">
      <formula>$C$7&lt;&gt;$B$7</formula>
    </cfRule>
    <cfRule type="expression" dxfId="211" priority="17">
      <formula>$C$7="NO VA HOY"</formula>
    </cfRule>
    <cfRule type="expression" dxfId="210" priority="16">
      <formula>$B$7=0</formula>
    </cfRule>
  </conditionalFormatting>
  <conditionalFormatting sqref="A8:E8">
    <cfRule type="expression" dxfId="209" priority="15">
      <formula>$C$8&lt;&gt;$B$8</formula>
    </cfRule>
    <cfRule type="expression" dxfId="208" priority="14">
      <formula>$C$8="NO VA HOY"</formula>
    </cfRule>
    <cfRule type="expression" dxfId="207" priority="13">
      <formula>$B$8=0</formula>
    </cfRule>
  </conditionalFormatting>
  <conditionalFormatting sqref="A9:E9">
    <cfRule type="expression" dxfId="206" priority="12">
      <formula>$C$9&lt;&gt;$B$9</formula>
    </cfRule>
    <cfRule type="expression" dxfId="205" priority="11">
      <formula>$C$9="NO VA HOY"</formula>
    </cfRule>
    <cfRule type="expression" dxfId="204" priority="10">
      <formula>$B$9=0</formula>
    </cfRule>
  </conditionalFormatting>
  <conditionalFormatting sqref="A10:E10">
    <cfRule type="expression" dxfId="203" priority="9">
      <formula>$C$10&lt;&gt;$B$10</formula>
    </cfRule>
    <cfRule type="expression" dxfId="202" priority="8">
      <formula>$C$10="NO VA HOY"</formula>
    </cfRule>
    <cfRule type="expression" dxfId="201" priority="7">
      <formula>$B$10=0</formula>
    </cfRule>
  </conditionalFormatting>
  <conditionalFormatting sqref="A11:E11">
    <cfRule type="expression" dxfId="200" priority="6">
      <formula>$C$11&lt;&gt;$B$11</formula>
    </cfRule>
    <cfRule type="expression" dxfId="199" priority="5">
      <formula>$C$11="NO VA HOY"</formula>
    </cfRule>
    <cfRule type="expression" dxfId="198" priority="4">
      <formula>$B$11=0</formula>
    </cfRule>
  </conditionalFormatting>
  <conditionalFormatting sqref="A12:E12">
    <cfRule type="expression" dxfId="197" priority="3">
      <formula>$C$12&lt;&gt;$B$12</formula>
    </cfRule>
    <cfRule type="expression" dxfId="196" priority="2">
      <formula>$C$12="NO VA HOY"</formula>
    </cfRule>
    <cfRule type="expression" dxfId="195" priority="1">
      <formula>$B$12=0</formula>
    </cfRule>
  </conditionalFormatting>
  <pageMargins left="0.7" right="0.7" top="0.75" bottom="0.75" header="0.3" footer="0.3"/>
  <pageSetup paperSize="9" orientation="landscape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F231"/>
  <sheetViews>
    <sheetView workbookViewId="0">
      <selection activeCell="A5" sqref="A5:E17"/>
    </sheetView>
  </sheetViews>
  <sheetFormatPr defaultColWidth="11.42578125" defaultRowHeight="12"/>
  <cols>
    <col min="1" max="1" width="34" style="17" bestFit="1" customWidth="1"/>
    <col min="2" max="2" width="11.42578125" style="17" bestFit="1" customWidth="1"/>
    <col min="3" max="3" width="15.42578125" style="17" bestFit="1" customWidth="1"/>
    <col min="4" max="4" width="30" style="16" bestFit="1" customWidth="1"/>
    <col min="5" max="5" width="20.140625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448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230</v>
      </c>
      <c r="B6" s="60">
        <v>5</v>
      </c>
      <c r="C6" s="60">
        <v>5</v>
      </c>
      <c r="D6" s="61" t="s">
        <v>228</v>
      </c>
      <c r="E6" s="61" t="s">
        <v>229</v>
      </c>
      <c r="F6" s="28"/>
    </row>
    <row r="7" spans="1:6" s="29" customFormat="1">
      <c r="A7" s="60" t="s">
        <v>10</v>
      </c>
      <c r="B7" s="60">
        <v>1</v>
      </c>
      <c r="C7" s="60">
        <v>1</v>
      </c>
      <c r="D7" s="61">
        <v>669862156</v>
      </c>
      <c r="E7" s="61">
        <v>629238527</v>
      </c>
      <c r="F7" s="28"/>
    </row>
    <row r="8" spans="1:6" s="29" customFormat="1">
      <c r="A8" s="60" t="s">
        <v>399</v>
      </c>
      <c r="B8" s="60">
        <v>8</v>
      </c>
      <c r="C8" s="60">
        <v>8</v>
      </c>
      <c r="D8" s="61" t="s">
        <v>397</v>
      </c>
      <c r="E8" s="61" t="s">
        <v>398</v>
      </c>
      <c r="F8" s="28"/>
    </row>
    <row r="9" spans="1:6" s="29" customFormat="1">
      <c r="A9" s="60" t="s">
        <v>26</v>
      </c>
      <c r="B9" s="60">
        <v>1</v>
      </c>
      <c r="C9" s="60">
        <v>1</v>
      </c>
      <c r="D9" s="61" t="s">
        <v>27</v>
      </c>
      <c r="E9" s="61" t="s">
        <v>28</v>
      </c>
      <c r="F9" s="28"/>
    </row>
    <row r="10" spans="1:6" s="29" customFormat="1">
      <c r="A10" s="60" t="s">
        <v>419</v>
      </c>
      <c r="B10" s="60">
        <v>8</v>
      </c>
      <c r="C10" s="60">
        <v>8</v>
      </c>
      <c r="D10" s="61" t="s">
        <v>420</v>
      </c>
      <c r="E10" s="61" t="s">
        <v>421</v>
      </c>
      <c r="F10" s="28"/>
    </row>
    <row r="11" spans="1:6" s="29" customFormat="1">
      <c r="A11" s="60" t="s">
        <v>414</v>
      </c>
      <c r="B11" s="60">
        <v>8</v>
      </c>
      <c r="C11" s="60">
        <v>8</v>
      </c>
      <c r="D11" s="61" t="s">
        <v>415</v>
      </c>
      <c r="E11" s="61" t="s">
        <v>416</v>
      </c>
      <c r="F11" s="28"/>
    </row>
    <row r="12" spans="1:6" s="29" customFormat="1">
      <c r="A12" s="60" t="s">
        <v>252</v>
      </c>
      <c r="B12" s="60">
        <v>5</v>
      </c>
      <c r="C12" s="60">
        <v>5</v>
      </c>
      <c r="D12" s="61">
        <v>626836122</v>
      </c>
      <c r="E12" s="61" t="s">
        <v>253</v>
      </c>
      <c r="F12" s="28"/>
    </row>
    <row r="13" spans="1:6" s="29" customFormat="1">
      <c r="A13" s="60" t="s">
        <v>54</v>
      </c>
      <c r="B13" s="60">
        <v>1</v>
      </c>
      <c r="C13" s="60">
        <v>1</v>
      </c>
      <c r="D13" s="61" t="s">
        <v>55</v>
      </c>
      <c r="E13" s="61" t="s">
        <v>56</v>
      </c>
      <c r="F13" s="28"/>
    </row>
    <row r="14" spans="1:6" s="29" customFormat="1">
      <c r="A14" s="60" t="s">
        <v>261</v>
      </c>
      <c r="B14" s="60">
        <v>5</v>
      </c>
      <c r="C14" s="60">
        <v>5</v>
      </c>
      <c r="D14" s="61" t="s">
        <v>262</v>
      </c>
      <c r="E14" s="61">
        <v>646916723</v>
      </c>
      <c r="F14" s="28"/>
    </row>
    <row r="15" spans="1:6" s="29" customFormat="1">
      <c r="A15" s="60" t="s">
        <v>141</v>
      </c>
      <c r="B15" s="60">
        <v>3</v>
      </c>
      <c r="C15" s="60">
        <v>3</v>
      </c>
      <c r="D15" s="61">
        <v>639789428</v>
      </c>
      <c r="E15" s="61">
        <v>619177559</v>
      </c>
      <c r="F15" s="28"/>
    </row>
    <row r="16" spans="1:6" s="29" customFormat="1">
      <c r="A16" s="60" t="s">
        <v>367</v>
      </c>
      <c r="B16" s="60">
        <v>7</v>
      </c>
      <c r="C16" s="60">
        <v>7</v>
      </c>
      <c r="D16" s="61" t="s">
        <v>365</v>
      </c>
      <c r="E16" s="61" t="s">
        <v>366</v>
      </c>
      <c r="F16" s="28"/>
    </row>
    <row r="17" spans="1:6" s="29" customFormat="1">
      <c r="A17" s="60" t="s">
        <v>392</v>
      </c>
      <c r="B17" s="60">
        <v>8</v>
      </c>
      <c r="C17" s="60">
        <v>8</v>
      </c>
      <c r="D17" s="61" t="s">
        <v>393</v>
      </c>
      <c r="E17" s="61" t="s">
        <v>394</v>
      </c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55" t="s">
        <v>455</v>
      </c>
      <c r="C20" s="56" t="s">
        <v>456</v>
      </c>
      <c r="D20" s="41"/>
      <c r="E20" s="41"/>
      <c r="F20" s="28"/>
    </row>
    <row r="21" spans="1:6" s="29" customFormat="1">
      <c r="A21" s="40"/>
      <c r="B21" s="55"/>
      <c r="C21" s="57" t="s">
        <v>457</v>
      </c>
      <c r="D21" s="41"/>
      <c r="E21" s="41"/>
      <c r="F21" s="28"/>
    </row>
    <row r="22" spans="1:6" s="29" customFormat="1">
      <c r="A22" s="40"/>
      <c r="B22" s="55"/>
      <c r="C22" s="58" t="s">
        <v>458</v>
      </c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20:B22"/>
  </mergeCells>
  <conditionalFormatting sqref="A6:E6">
    <cfRule type="expression" dxfId="194" priority="36">
      <formula>$C$6&lt;&gt;$B$6</formula>
    </cfRule>
    <cfRule type="expression" dxfId="193" priority="35">
      <formula>$C$6="NO VA HOY"</formula>
    </cfRule>
    <cfRule type="expression" dxfId="192" priority="34">
      <formula>$B$6=0</formula>
    </cfRule>
  </conditionalFormatting>
  <conditionalFormatting sqref="A7:E7">
    <cfRule type="expression" dxfId="191" priority="33">
      <formula>$C$7&lt;&gt;$B$7</formula>
    </cfRule>
    <cfRule type="expression" dxfId="190" priority="32">
      <formula>$C$7="NO VA HOY"</formula>
    </cfRule>
    <cfRule type="expression" dxfId="189" priority="31">
      <formula>$B$7=0</formula>
    </cfRule>
  </conditionalFormatting>
  <conditionalFormatting sqref="A8:E8">
    <cfRule type="expression" dxfId="188" priority="30">
      <formula>$C$8&lt;&gt;$B$8</formula>
    </cfRule>
    <cfRule type="expression" dxfId="187" priority="29">
      <formula>$C$8="NO VA HOY"</formula>
    </cfRule>
    <cfRule type="expression" dxfId="186" priority="28">
      <formula>$B$8=0</formula>
    </cfRule>
  </conditionalFormatting>
  <conditionalFormatting sqref="A9:E9">
    <cfRule type="expression" dxfId="185" priority="27">
      <formula>$C$9&lt;&gt;$B$9</formula>
    </cfRule>
    <cfRule type="expression" dxfId="184" priority="26">
      <formula>$C$9="NO VA HOY"</formula>
    </cfRule>
    <cfRule type="expression" dxfId="183" priority="25">
      <formula>$B$9=0</formula>
    </cfRule>
  </conditionalFormatting>
  <conditionalFormatting sqref="A10:E10">
    <cfRule type="expression" dxfId="182" priority="24">
      <formula>$C$10&lt;&gt;$B$10</formula>
    </cfRule>
    <cfRule type="expression" dxfId="181" priority="23">
      <formula>$C$10="NO VA HOY"</formula>
    </cfRule>
    <cfRule type="expression" dxfId="180" priority="22">
      <formula>$B$10=0</formula>
    </cfRule>
  </conditionalFormatting>
  <conditionalFormatting sqref="A11:E11">
    <cfRule type="expression" dxfId="179" priority="21">
      <formula>$C$11&lt;&gt;$B$11</formula>
    </cfRule>
    <cfRule type="expression" dxfId="178" priority="20">
      <formula>$C$11="NO VA HOY"</formula>
    </cfRule>
    <cfRule type="expression" dxfId="177" priority="19">
      <formula>$B$11=0</formula>
    </cfRule>
  </conditionalFormatting>
  <conditionalFormatting sqref="A12:E12">
    <cfRule type="expression" dxfId="176" priority="18">
      <formula>$C$12&lt;&gt;$B$12</formula>
    </cfRule>
    <cfRule type="expression" dxfId="175" priority="17">
      <formula>$C$12="NO VA HOY"</formula>
    </cfRule>
    <cfRule type="expression" dxfId="174" priority="16">
      <formula>$B$12=0</formula>
    </cfRule>
  </conditionalFormatting>
  <conditionalFormatting sqref="A13:E13">
    <cfRule type="expression" dxfId="173" priority="15">
      <formula>$C$13&lt;&gt;$B$13</formula>
    </cfRule>
    <cfRule type="expression" dxfId="172" priority="14">
      <formula>$C$13="NO VA HOY"</formula>
    </cfRule>
    <cfRule type="expression" dxfId="171" priority="13">
      <formula>$B$13=0</formula>
    </cfRule>
  </conditionalFormatting>
  <conditionalFormatting sqref="A14:E14">
    <cfRule type="expression" dxfId="170" priority="12">
      <formula>$C$14&lt;&gt;$B$14</formula>
    </cfRule>
    <cfRule type="expression" dxfId="169" priority="11">
      <formula>$C$14="NO VA HOY"</formula>
    </cfRule>
    <cfRule type="expression" dxfId="168" priority="10">
      <formula>$B$14=0</formula>
    </cfRule>
  </conditionalFormatting>
  <conditionalFormatting sqref="A15:E15">
    <cfRule type="expression" dxfId="167" priority="9">
      <formula>$C$15&lt;&gt;$B$15</formula>
    </cfRule>
    <cfRule type="expression" dxfId="166" priority="8">
      <formula>$C$15="NO VA HOY"</formula>
    </cfRule>
    <cfRule type="expression" dxfId="165" priority="7">
      <formula>$B$15=0</formula>
    </cfRule>
  </conditionalFormatting>
  <conditionalFormatting sqref="A16:E16">
    <cfRule type="expression" dxfId="164" priority="6">
      <formula>$C$16&lt;&gt;$B$16</formula>
    </cfRule>
    <cfRule type="expression" dxfId="163" priority="5">
      <formula>$C$16="NO VA HOY"</formula>
    </cfRule>
    <cfRule type="expression" dxfId="162" priority="4">
      <formula>$B$16=0</formula>
    </cfRule>
  </conditionalFormatting>
  <conditionalFormatting sqref="A17:E17">
    <cfRule type="expression" dxfId="161" priority="3">
      <formula>$C$17&lt;&gt;$B$17</formula>
    </cfRule>
    <cfRule type="expression" dxfId="160" priority="2">
      <formula>$C$17="NO VA HOY"</formula>
    </cfRule>
    <cfRule type="expression" dxfId="159" priority="1">
      <formula>$B$17=0</formula>
    </cfRule>
  </conditionalFormatting>
  <pageMargins left="0.7" right="0.7" top="0.75" bottom="0.75" header="0.3" footer="0.3"/>
  <pageSetup paperSize="9" orientation="landscape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F231"/>
  <sheetViews>
    <sheetView zoomScale="103" zoomScaleNormal="103" workbookViewId="0">
      <selection activeCell="A5" sqref="A5:E11"/>
    </sheetView>
  </sheetViews>
  <sheetFormatPr defaultColWidth="11.42578125" defaultRowHeight="12"/>
  <cols>
    <col min="1" max="1" width="26.42578125" style="17" bestFit="1" customWidth="1"/>
    <col min="2" max="2" width="11.42578125" style="17" bestFit="1" customWidth="1"/>
    <col min="3" max="3" width="15.42578125" style="17" bestFit="1" customWidth="1"/>
    <col min="4" max="4" width="21" style="16" bestFit="1" customWidth="1"/>
    <col min="5" max="5" width="20.140625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267</v>
      </c>
      <c r="B6" s="60">
        <v>6</v>
      </c>
      <c r="C6" s="60">
        <v>6</v>
      </c>
      <c r="D6" s="61" t="s">
        <v>268</v>
      </c>
      <c r="E6" s="61" t="s">
        <v>269</v>
      </c>
      <c r="F6" s="28"/>
    </row>
    <row r="7" spans="1:6" s="29" customFormat="1">
      <c r="A7" s="60" t="s">
        <v>374</v>
      </c>
      <c r="B7" s="60">
        <v>7</v>
      </c>
      <c r="C7" s="60">
        <v>7</v>
      </c>
      <c r="D7" s="61" t="s">
        <v>375</v>
      </c>
      <c r="E7" s="61" t="s">
        <v>376</v>
      </c>
      <c r="F7" s="28"/>
    </row>
    <row r="8" spans="1:6" s="29" customFormat="1">
      <c r="A8" s="60" t="s">
        <v>337</v>
      </c>
      <c r="B8" s="60">
        <v>7</v>
      </c>
      <c r="C8" s="60">
        <v>7</v>
      </c>
      <c r="D8" s="61">
        <v>629784634</v>
      </c>
      <c r="E8" s="61">
        <v>619017869</v>
      </c>
      <c r="F8" s="28"/>
    </row>
    <row r="9" spans="1:6" s="29" customFormat="1">
      <c r="A9" s="60" t="s">
        <v>143</v>
      </c>
      <c r="B9" s="60">
        <v>3</v>
      </c>
      <c r="C9" s="60">
        <v>3</v>
      </c>
      <c r="D9" s="61">
        <v>650907237</v>
      </c>
      <c r="E9" s="61">
        <v>669387487</v>
      </c>
      <c r="F9" s="28"/>
    </row>
    <row r="10" spans="1:6" s="29" customFormat="1">
      <c r="A10" s="60" t="s">
        <v>341</v>
      </c>
      <c r="B10" s="60">
        <v>7</v>
      </c>
      <c r="C10" s="60">
        <v>7</v>
      </c>
      <c r="D10" s="61" t="s">
        <v>339</v>
      </c>
      <c r="E10" s="61" t="s">
        <v>340</v>
      </c>
      <c r="F10" s="28"/>
    </row>
    <row r="11" spans="1:6" s="29" customFormat="1">
      <c r="A11" s="60" t="s">
        <v>180</v>
      </c>
      <c r="B11" s="60">
        <v>4</v>
      </c>
      <c r="C11" s="60">
        <v>4</v>
      </c>
      <c r="D11" s="61" t="s">
        <v>181</v>
      </c>
      <c r="E11" s="61" t="s">
        <v>182</v>
      </c>
      <c r="F11" s="28"/>
    </row>
    <row r="12" spans="1:6" s="29" customFormat="1">
      <c r="A12" s="40"/>
      <c r="B12" s="40"/>
      <c r="C12" s="40"/>
      <c r="D12" s="41"/>
      <c r="E12" s="41"/>
      <c r="F12" s="28"/>
    </row>
    <row r="13" spans="1:6" s="29" customFormat="1">
      <c r="A13" s="40"/>
      <c r="B13" s="40"/>
      <c r="C13" s="40"/>
      <c r="D13" s="41"/>
      <c r="E13" s="41"/>
      <c r="F13" s="28"/>
    </row>
    <row r="14" spans="1:6" s="29" customFormat="1">
      <c r="A14" s="40"/>
      <c r="B14" s="55" t="s">
        <v>455</v>
      </c>
      <c r="C14" s="56" t="s">
        <v>456</v>
      </c>
      <c r="D14" s="41"/>
      <c r="E14" s="41"/>
      <c r="F14" s="28"/>
    </row>
    <row r="15" spans="1:6" s="29" customFormat="1">
      <c r="A15" s="40"/>
      <c r="B15" s="55"/>
      <c r="C15" s="57" t="s">
        <v>457</v>
      </c>
      <c r="D15" s="41"/>
      <c r="E15" s="41"/>
      <c r="F15" s="28"/>
    </row>
    <row r="16" spans="1:6" s="29" customFormat="1">
      <c r="A16" s="40"/>
      <c r="B16" s="55"/>
      <c r="C16" s="58" t="s">
        <v>458</v>
      </c>
      <c r="D16" s="41"/>
      <c r="E16" s="41"/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4:B16"/>
  </mergeCells>
  <conditionalFormatting sqref="A6:E6">
    <cfRule type="expression" dxfId="158" priority="18">
      <formula>$C$6&lt;&gt;$B$6</formula>
    </cfRule>
    <cfRule type="expression" dxfId="157" priority="17">
      <formula>$C$6="NO VA HOY"</formula>
    </cfRule>
    <cfRule type="expression" dxfId="156" priority="16">
      <formula>$B$6=0</formula>
    </cfRule>
  </conditionalFormatting>
  <conditionalFormatting sqref="A7:E7">
    <cfRule type="expression" dxfId="155" priority="15">
      <formula>$C$7&lt;&gt;$B$7</formula>
    </cfRule>
    <cfRule type="expression" dxfId="154" priority="14">
      <formula>$C$7="NO VA HOY"</formula>
    </cfRule>
    <cfRule type="expression" dxfId="153" priority="13">
      <formula>$B$7=0</formula>
    </cfRule>
  </conditionalFormatting>
  <conditionalFormatting sqref="A8:E8">
    <cfRule type="expression" dxfId="152" priority="12">
      <formula>$C$8&lt;&gt;$B$8</formula>
    </cfRule>
    <cfRule type="expression" dxfId="151" priority="11">
      <formula>$C$8="NO VA HOY"</formula>
    </cfRule>
    <cfRule type="expression" dxfId="150" priority="10">
      <formula>$B$8=0</formula>
    </cfRule>
  </conditionalFormatting>
  <conditionalFormatting sqref="A9:E9">
    <cfRule type="expression" dxfId="149" priority="9">
      <formula>$C$9&lt;&gt;$B$9</formula>
    </cfRule>
    <cfRule type="expression" dxfId="148" priority="8">
      <formula>$C$9="NO VA HOY"</formula>
    </cfRule>
    <cfRule type="expression" dxfId="147" priority="7">
      <formula>$B$9=0</formula>
    </cfRule>
  </conditionalFormatting>
  <conditionalFormatting sqref="A10:E10">
    <cfRule type="expression" dxfId="146" priority="6">
      <formula>$C$10&lt;&gt;$B$10</formula>
    </cfRule>
    <cfRule type="expression" dxfId="145" priority="5">
      <formula>$C$10="NO VA HOY"</formula>
    </cfRule>
    <cfRule type="expression" dxfId="144" priority="4">
      <formula>$B$10=0</formula>
    </cfRule>
  </conditionalFormatting>
  <conditionalFormatting sqref="A11:E11">
    <cfRule type="expression" dxfId="143" priority="3">
      <formula>$C$11&lt;&gt;$B$11</formula>
    </cfRule>
    <cfRule type="expression" dxfId="142" priority="2">
      <formula>$C$11="NO VA HOY"</formula>
    </cfRule>
    <cfRule type="expression" dxfId="141" priority="1">
      <formula>$B$11=0</formula>
    </cfRule>
  </conditionalFormatting>
  <pageMargins left="0.7" right="0.7" top="0.75" bottom="0.75" header="0.3" footer="0.3"/>
  <pageSetup paperSize="9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1:F231"/>
  <sheetViews>
    <sheetView workbookViewId="0">
      <selection activeCell="A5" sqref="A5:E16"/>
    </sheetView>
  </sheetViews>
  <sheetFormatPr defaultColWidth="11.42578125" defaultRowHeight="12"/>
  <cols>
    <col min="1" max="1" width="36.1406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78</v>
      </c>
      <c r="B6" s="60">
        <v>2</v>
      </c>
      <c r="C6" s="60">
        <v>2</v>
      </c>
      <c r="D6" s="61" t="s">
        <v>75</v>
      </c>
      <c r="E6" s="61" t="s">
        <v>76</v>
      </c>
      <c r="F6" s="28"/>
    </row>
    <row r="7" spans="1:6" s="29" customFormat="1">
      <c r="A7" s="60" t="s">
        <v>201</v>
      </c>
      <c r="B7" s="60">
        <v>4</v>
      </c>
      <c r="C7" s="60">
        <v>4</v>
      </c>
      <c r="D7" s="61" t="s">
        <v>199</v>
      </c>
      <c r="E7" s="61" t="s">
        <v>200</v>
      </c>
      <c r="F7" s="28"/>
    </row>
    <row r="8" spans="1:6" s="29" customFormat="1">
      <c r="A8" s="60" t="s">
        <v>216</v>
      </c>
      <c r="B8" s="60">
        <v>4</v>
      </c>
      <c r="C8" s="60">
        <v>4</v>
      </c>
      <c r="D8" s="61" t="s">
        <v>217</v>
      </c>
      <c r="E8" s="61" t="s">
        <v>451</v>
      </c>
      <c r="F8" s="28"/>
    </row>
    <row r="9" spans="1:6" s="29" customFormat="1">
      <c r="A9" s="60" t="s">
        <v>396</v>
      </c>
      <c r="B9" s="60">
        <v>8</v>
      </c>
      <c r="C9" s="60">
        <v>8</v>
      </c>
      <c r="D9" s="61" t="s">
        <v>397</v>
      </c>
      <c r="E9" s="61" t="s">
        <v>398</v>
      </c>
      <c r="F9" s="28"/>
    </row>
    <row r="10" spans="1:6" s="29" customFormat="1">
      <c r="A10" s="60" t="s">
        <v>291</v>
      </c>
      <c r="B10" s="60">
        <v>6</v>
      </c>
      <c r="C10" s="60">
        <v>6</v>
      </c>
      <c r="D10" s="61" t="s">
        <v>289</v>
      </c>
      <c r="E10" s="61" t="s">
        <v>290</v>
      </c>
      <c r="F10" s="28"/>
    </row>
    <row r="11" spans="1:6" s="29" customFormat="1">
      <c r="A11" s="60" t="s">
        <v>140</v>
      </c>
      <c r="B11" s="60">
        <v>3</v>
      </c>
      <c r="C11" s="60">
        <v>3</v>
      </c>
      <c r="D11" s="61" t="s">
        <v>138</v>
      </c>
      <c r="E11" s="61" t="s">
        <v>139</v>
      </c>
      <c r="F11" s="28"/>
    </row>
    <row r="12" spans="1:6" s="29" customFormat="1">
      <c r="A12" s="60" t="s">
        <v>360</v>
      </c>
      <c r="B12" s="60">
        <v>7</v>
      </c>
      <c r="C12" s="60">
        <v>7</v>
      </c>
      <c r="D12" s="61">
        <v>639388533</v>
      </c>
      <c r="E12" s="61">
        <v>645403375</v>
      </c>
      <c r="F12" s="28"/>
    </row>
    <row r="13" spans="1:6" s="29" customFormat="1">
      <c r="A13" s="60" t="s">
        <v>93</v>
      </c>
      <c r="B13" s="60">
        <v>2</v>
      </c>
      <c r="C13" s="60">
        <v>2</v>
      </c>
      <c r="D13" s="61" t="s">
        <v>94</v>
      </c>
      <c r="E13" s="61" t="s">
        <v>95</v>
      </c>
      <c r="F13" s="28"/>
    </row>
    <row r="14" spans="1:6" s="29" customFormat="1">
      <c r="A14" s="60" t="s">
        <v>154</v>
      </c>
      <c r="B14" s="60">
        <v>3</v>
      </c>
      <c r="C14" s="60">
        <v>3</v>
      </c>
      <c r="D14" s="61">
        <v>651534710</v>
      </c>
      <c r="E14" s="61">
        <v>669134954</v>
      </c>
      <c r="F14" s="28"/>
    </row>
    <row r="15" spans="1:6" s="29" customFormat="1">
      <c r="A15" s="60" t="s">
        <v>275</v>
      </c>
      <c r="B15" s="60">
        <v>6</v>
      </c>
      <c r="C15" s="60">
        <v>6</v>
      </c>
      <c r="D15" s="61" t="s">
        <v>273</v>
      </c>
      <c r="E15" s="61" t="s">
        <v>274</v>
      </c>
      <c r="F15" s="28"/>
    </row>
    <row r="16" spans="1:6" s="29" customFormat="1">
      <c r="A16" s="60" t="s">
        <v>144</v>
      </c>
      <c r="B16" s="60">
        <v>3</v>
      </c>
      <c r="C16" s="60">
        <v>3</v>
      </c>
      <c r="D16" s="61" t="s">
        <v>145</v>
      </c>
      <c r="E16" s="61" t="s">
        <v>454</v>
      </c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55" t="s">
        <v>455</v>
      </c>
      <c r="C19" s="56" t="s">
        <v>456</v>
      </c>
      <c r="D19" s="41"/>
      <c r="E19" s="41"/>
      <c r="F19" s="28"/>
    </row>
    <row r="20" spans="1:6" s="29" customFormat="1">
      <c r="A20" s="40"/>
      <c r="B20" s="55"/>
      <c r="C20" s="57" t="s">
        <v>457</v>
      </c>
      <c r="D20" s="41"/>
      <c r="E20" s="41"/>
      <c r="F20" s="28"/>
    </row>
    <row r="21" spans="1:6" s="29" customFormat="1">
      <c r="A21" s="40"/>
      <c r="B21" s="55"/>
      <c r="C21" s="58" t="s">
        <v>458</v>
      </c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9:B21"/>
  </mergeCells>
  <conditionalFormatting sqref="A6:E6">
    <cfRule type="expression" dxfId="140" priority="33">
      <formula>$C$6&lt;&gt;$B$6</formula>
    </cfRule>
    <cfRule type="expression" dxfId="139" priority="32">
      <formula>$C$6="NO VA HOY"</formula>
    </cfRule>
    <cfRule type="expression" dxfId="138" priority="31">
      <formula>$B$6=0</formula>
    </cfRule>
  </conditionalFormatting>
  <conditionalFormatting sqref="A7:E7">
    <cfRule type="expression" dxfId="137" priority="30">
      <formula>$C$7&lt;&gt;$B$7</formula>
    </cfRule>
    <cfRule type="expression" dxfId="136" priority="29">
      <formula>$C$7="NO VA HOY"</formula>
    </cfRule>
    <cfRule type="expression" dxfId="135" priority="28">
      <formula>$B$7=0</formula>
    </cfRule>
  </conditionalFormatting>
  <conditionalFormatting sqref="A8:E8">
    <cfRule type="expression" dxfId="134" priority="27">
      <formula>$C$8&lt;&gt;$B$8</formula>
    </cfRule>
    <cfRule type="expression" dxfId="133" priority="26">
      <formula>$C$8="NO VA HOY"</formula>
    </cfRule>
    <cfRule type="expression" dxfId="132" priority="25">
      <formula>$B$8=0</formula>
    </cfRule>
  </conditionalFormatting>
  <conditionalFormatting sqref="A9:E9">
    <cfRule type="expression" dxfId="131" priority="24">
      <formula>$C$9&lt;&gt;$B$9</formula>
    </cfRule>
    <cfRule type="expression" dxfId="130" priority="23">
      <formula>$C$9="NO VA HOY"</formula>
    </cfRule>
    <cfRule type="expression" dxfId="129" priority="22">
      <formula>$B$9=0</formula>
    </cfRule>
  </conditionalFormatting>
  <conditionalFormatting sqref="A10:E10">
    <cfRule type="expression" dxfId="128" priority="21">
      <formula>$C$10&lt;&gt;$B$10</formula>
    </cfRule>
    <cfRule type="expression" dxfId="127" priority="20">
      <formula>$C$10="NO VA HOY"</formula>
    </cfRule>
    <cfRule type="expression" dxfId="126" priority="19">
      <formula>$B$10=0</formula>
    </cfRule>
  </conditionalFormatting>
  <conditionalFormatting sqref="A11:E11">
    <cfRule type="expression" dxfId="125" priority="18">
      <formula>$C$11&lt;&gt;$B$11</formula>
    </cfRule>
    <cfRule type="expression" dxfId="124" priority="17">
      <formula>$C$11="NO VA HOY"</formula>
    </cfRule>
    <cfRule type="expression" dxfId="123" priority="16">
      <formula>$B$11=0</formula>
    </cfRule>
  </conditionalFormatting>
  <conditionalFormatting sqref="A12:E12">
    <cfRule type="expression" dxfId="122" priority="15">
      <formula>$C$12&lt;&gt;$B$12</formula>
    </cfRule>
    <cfRule type="expression" dxfId="121" priority="14">
      <formula>$C$12="NO VA HOY"</formula>
    </cfRule>
    <cfRule type="expression" dxfId="120" priority="13">
      <formula>$B$12=0</formula>
    </cfRule>
  </conditionalFormatting>
  <conditionalFormatting sqref="A13:E13">
    <cfRule type="expression" dxfId="119" priority="12">
      <formula>$C$13&lt;&gt;$B$13</formula>
    </cfRule>
    <cfRule type="expression" dxfId="118" priority="11">
      <formula>$C$13="NO VA HOY"</formula>
    </cfRule>
    <cfRule type="expression" dxfId="117" priority="10">
      <formula>$B$13=0</formula>
    </cfRule>
  </conditionalFormatting>
  <conditionalFormatting sqref="A14:E14">
    <cfRule type="expression" dxfId="116" priority="9">
      <formula>$C$14&lt;&gt;$B$14</formula>
    </cfRule>
    <cfRule type="expression" dxfId="115" priority="8">
      <formula>$C$14="NO VA HOY"</formula>
    </cfRule>
    <cfRule type="expression" dxfId="114" priority="7">
      <formula>$B$14=0</formula>
    </cfRule>
  </conditionalFormatting>
  <conditionalFormatting sqref="A15:E15">
    <cfRule type="expression" dxfId="113" priority="6">
      <formula>$C$15&lt;&gt;$B$15</formula>
    </cfRule>
    <cfRule type="expression" dxfId="112" priority="5">
      <formula>$C$15="NO VA HOY"</formula>
    </cfRule>
    <cfRule type="expression" dxfId="111" priority="4">
      <formula>$B$15=0</formula>
    </cfRule>
  </conditionalFormatting>
  <conditionalFormatting sqref="A16:E16">
    <cfRule type="expression" dxfId="110" priority="3">
      <formula>$C$16&lt;&gt;$B$16</formula>
    </cfRule>
    <cfRule type="expression" dxfId="109" priority="2">
      <formula>$C$16="NO VA HOY"</formula>
    </cfRule>
    <cfRule type="expression" dxfId="108" priority="1">
      <formula>$B$16=0</formula>
    </cfRule>
  </conditionalFormatting>
  <pageMargins left="0.7" right="0.7" top="0.75" bottom="0.75" header="0.3" footer="0.3"/>
  <pageSetup paperSize="9" orientation="landscape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/>
  <dimension ref="A1:F231"/>
  <sheetViews>
    <sheetView workbookViewId="0">
      <selection activeCell="A5" sqref="A5:E16"/>
    </sheetView>
  </sheetViews>
  <sheetFormatPr defaultColWidth="11.42578125" defaultRowHeight="12"/>
  <cols>
    <col min="1" max="1" width="26.425781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279</v>
      </c>
      <c r="B6" s="60">
        <v>6</v>
      </c>
      <c r="C6" s="60">
        <v>6</v>
      </c>
      <c r="D6" s="61" t="s">
        <v>280</v>
      </c>
      <c r="E6" s="61" t="s">
        <v>281</v>
      </c>
      <c r="F6" s="28"/>
    </row>
    <row r="7" spans="1:6" s="29" customFormat="1">
      <c r="A7" s="60" t="s">
        <v>48</v>
      </c>
      <c r="B7" s="60">
        <v>1</v>
      </c>
      <c r="C7" s="60">
        <v>1</v>
      </c>
      <c r="D7" s="61" t="s">
        <v>45</v>
      </c>
      <c r="E7" s="61" t="s">
        <v>46</v>
      </c>
      <c r="F7" s="28"/>
    </row>
    <row r="8" spans="1:6" s="29" customFormat="1">
      <c r="A8" s="60" t="s">
        <v>323</v>
      </c>
      <c r="B8" s="60">
        <v>6</v>
      </c>
      <c r="C8" s="60">
        <v>6</v>
      </c>
      <c r="D8" s="61" t="s">
        <v>320</v>
      </c>
      <c r="E8" s="61" t="s">
        <v>321</v>
      </c>
      <c r="F8" s="28"/>
    </row>
    <row r="9" spans="1:6" s="29" customFormat="1">
      <c r="A9" s="60" t="s">
        <v>151</v>
      </c>
      <c r="B9" s="60">
        <v>3</v>
      </c>
      <c r="C9" s="60">
        <v>3</v>
      </c>
      <c r="D9" s="61" t="s">
        <v>152</v>
      </c>
      <c r="E9" s="61" t="s">
        <v>153</v>
      </c>
      <c r="F9" s="28"/>
    </row>
    <row r="10" spans="1:6" s="29" customFormat="1">
      <c r="A10" s="60" t="s">
        <v>307</v>
      </c>
      <c r="B10" s="60">
        <v>6</v>
      </c>
      <c r="C10" s="60">
        <v>6</v>
      </c>
      <c r="D10" s="61" t="s">
        <v>308</v>
      </c>
      <c r="E10" s="61" t="s">
        <v>309</v>
      </c>
      <c r="F10" s="28"/>
    </row>
    <row r="11" spans="1:6" s="29" customFormat="1">
      <c r="A11" s="60" t="s">
        <v>296</v>
      </c>
      <c r="B11" s="60">
        <v>6</v>
      </c>
      <c r="C11" s="60">
        <v>6</v>
      </c>
      <c r="D11" s="61">
        <v>649453295</v>
      </c>
      <c r="E11" s="61">
        <v>649967088</v>
      </c>
      <c r="F11" s="28"/>
    </row>
    <row r="12" spans="1:6" s="29" customFormat="1">
      <c r="A12" s="60" t="s">
        <v>422</v>
      </c>
      <c r="B12" s="60">
        <v>8</v>
      </c>
      <c r="C12" s="60">
        <v>8</v>
      </c>
      <c r="D12" s="61" t="s">
        <v>420</v>
      </c>
      <c r="E12" s="61" t="s">
        <v>421</v>
      </c>
      <c r="F12" s="28"/>
    </row>
    <row r="13" spans="1:6" s="29" customFormat="1">
      <c r="A13" s="60" t="s">
        <v>224</v>
      </c>
      <c r="B13" s="60">
        <v>4</v>
      </c>
      <c r="C13" s="60">
        <v>4</v>
      </c>
      <c r="D13" s="61">
        <v>686263627</v>
      </c>
      <c r="E13" s="61" t="s">
        <v>225</v>
      </c>
      <c r="F13" s="28"/>
    </row>
    <row r="14" spans="1:6" s="29" customFormat="1">
      <c r="A14" s="60" t="s">
        <v>163</v>
      </c>
      <c r="B14" s="60">
        <v>3</v>
      </c>
      <c r="C14" s="60">
        <v>3</v>
      </c>
      <c r="D14" s="61" t="s">
        <v>164</v>
      </c>
      <c r="E14" s="61" t="s">
        <v>165</v>
      </c>
      <c r="F14" s="28"/>
    </row>
    <row r="15" spans="1:6" s="29" customFormat="1">
      <c r="A15" s="60" t="s">
        <v>408</v>
      </c>
      <c r="B15" s="60">
        <v>8</v>
      </c>
      <c r="C15" s="60">
        <v>8</v>
      </c>
      <c r="D15" s="61" t="s">
        <v>406</v>
      </c>
      <c r="E15" s="61" t="s">
        <v>407</v>
      </c>
      <c r="F15" s="28"/>
    </row>
    <row r="16" spans="1:6" s="29" customFormat="1">
      <c r="A16" s="60" t="s">
        <v>234</v>
      </c>
      <c r="B16" s="60">
        <v>5</v>
      </c>
      <c r="C16" s="60">
        <v>5</v>
      </c>
      <c r="D16" s="61">
        <v>629685985</v>
      </c>
      <c r="E16" s="61">
        <v>637468207</v>
      </c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55" t="s">
        <v>455</v>
      </c>
      <c r="C19" s="56" t="s">
        <v>456</v>
      </c>
      <c r="D19" s="41"/>
      <c r="E19" s="41"/>
      <c r="F19" s="28"/>
    </row>
    <row r="20" spans="1:6" s="29" customFormat="1">
      <c r="A20" s="40"/>
      <c r="B20" s="55"/>
      <c r="C20" s="57" t="s">
        <v>457</v>
      </c>
      <c r="D20" s="41"/>
      <c r="E20" s="41"/>
      <c r="F20" s="28"/>
    </row>
    <row r="21" spans="1:6" s="29" customFormat="1">
      <c r="A21" s="40"/>
      <c r="B21" s="55"/>
      <c r="C21" s="58" t="s">
        <v>458</v>
      </c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9:B21"/>
  </mergeCells>
  <conditionalFormatting sqref="A6:E6">
    <cfRule type="expression" dxfId="107" priority="33">
      <formula>$C$6&lt;&gt;$B$6</formula>
    </cfRule>
    <cfRule type="expression" dxfId="106" priority="32">
      <formula>$C$6="NO VA HOY"</formula>
    </cfRule>
    <cfRule type="expression" dxfId="105" priority="31">
      <formula>$B$6=0</formula>
    </cfRule>
  </conditionalFormatting>
  <conditionalFormatting sqref="A7:E7">
    <cfRule type="expression" dxfId="104" priority="30">
      <formula>$C$7&lt;&gt;$B$7</formula>
    </cfRule>
    <cfRule type="expression" dxfId="103" priority="29">
      <formula>$C$7="NO VA HOY"</formula>
    </cfRule>
    <cfRule type="expression" dxfId="102" priority="28">
      <formula>$B$7=0</formula>
    </cfRule>
  </conditionalFormatting>
  <conditionalFormatting sqref="A8:E8">
    <cfRule type="expression" dxfId="101" priority="27">
      <formula>$C$8&lt;&gt;$B$8</formula>
    </cfRule>
    <cfRule type="expression" dxfId="100" priority="26">
      <formula>$C$8="NO VA HOY"</formula>
    </cfRule>
    <cfRule type="expression" dxfId="99" priority="25">
      <formula>$B$8=0</formula>
    </cfRule>
  </conditionalFormatting>
  <conditionalFormatting sqref="A9:E9">
    <cfRule type="expression" dxfId="98" priority="24">
      <formula>$C$9&lt;&gt;$B$9</formula>
    </cfRule>
    <cfRule type="expression" dxfId="97" priority="23">
      <formula>$C$9="NO VA HOY"</formula>
    </cfRule>
    <cfRule type="expression" dxfId="96" priority="22">
      <formula>$B$9=0</formula>
    </cfRule>
  </conditionalFormatting>
  <conditionalFormatting sqref="A10:E10">
    <cfRule type="expression" dxfId="95" priority="21">
      <formula>$C$10&lt;&gt;$B$10</formula>
    </cfRule>
    <cfRule type="expression" dxfId="94" priority="20">
      <formula>$C$10="NO VA HOY"</formula>
    </cfRule>
    <cfRule type="expression" dxfId="93" priority="19">
      <formula>$B$10=0</formula>
    </cfRule>
  </conditionalFormatting>
  <conditionalFormatting sqref="A11:E11">
    <cfRule type="expression" dxfId="92" priority="18">
      <formula>$C$11&lt;&gt;$B$11</formula>
    </cfRule>
    <cfRule type="expression" dxfId="91" priority="17">
      <formula>$C$11="NO VA HOY"</formula>
    </cfRule>
    <cfRule type="expression" dxfId="90" priority="16">
      <formula>$B$11=0</formula>
    </cfRule>
  </conditionalFormatting>
  <conditionalFormatting sqref="A12:E12">
    <cfRule type="expression" dxfId="89" priority="15">
      <formula>$C$12&lt;&gt;$B$12</formula>
    </cfRule>
    <cfRule type="expression" dxfId="88" priority="14">
      <formula>$C$12="NO VA HOY"</formula>
    </cfRule>
    <cfRule type="expression" dxfId="87" priority="13">
      <formula>$B$12=0</formula>
    </cfRule>
  </conditionalFormatting>
  <conditionalFormatting sqref="A13:E13">
    <cfRule type="expression" dxfId="86" priority="12">
      <formula>$C$13&lt;&gt;$B$13</formula>
    </cfRule>
    <cfRule type="expression" dxfId="85" priority="11">
      <formula>$C$13="NO VA HOY"</formula>
    </cfRule>
    <cfRule type="expression" dxfId="84" priority="10">
      <formula>$B$13=0</formula>
    </cfRule>
  </conditionalFormatting>
  <conditionalFormatting sqref="A14:E14">
    <cfRule type="expression" dxfId="83" priority="9">
      <formula>$C$14&lt;&gt;$B$14</formula>
    </cfRule>
    <cfRule type="expression" dxfId="82" priority="8">
      <formula>$C$14="NO VA HOY"</formula>
    </cfRule>
    <cfRule type="expression" dxfId="81" priority="7">
      <formula>$B$14=0</formula>
    </cfRule>
  </conditionalFormatting>
  <conditionalFormatting sqref="A15:E15">
    <cfRule type="expression" dxfId="80" priority="6">
      <formula>$C$15&lt;&gt;$B$15</formula>
    </cfRule>
    <cfRule type="expression" dxfId="79" priority="5">
      <formula>$C$15="NO VA HOY"</formula>
    </cfRule>
    <cfRule type="expression" dxfId="78" priority="4">
      <formula>$B$15=0</formula>
    </cfRule>
  </conditionalFormatting>
  <conditionalFormatting sqref="A16:E16">
    <cfRule type="expression" dxfId="77" priority="3">
      <formula>$C$16&lt;&gt;$B$16</formula>
    </cfRule>
    <cfRule type="expression" dxfId="76" priority="2">
      <formula>$C$16="NO VA HOY"</formula>
    </cfRule>
    <cfRule type="expression" dxfId="75" priority="1">
      <formula>$B$16=0</formula>
    </cfRule>
  </conditionalFormatting>
  <pageMargins left="0.7" right="0.7" top="0.75" bottom="0.75" header="0.3" footer="0.3"/>
  <pageSetup paperSize="9" orientation="landscape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0"/>
  <dimension ref="A1:F231"/>
  <sheetViews>
    <sheetView workbookViewId="0">
      <selection activeCell="A5" sqref="A5:E10"/>
    </sheetView>
  </sheetViews>
  <sheetFormatPr defaultColWidth="11.42578125" defaultRowHeight="12"/>
  <cols>
    <col min="1" max="1" width="34.28515625" style="17" bestFit="1" customWidth="1"/>
    <col min="2" max="2" width="11.42578125" style="17" bestFit="1" customWidth="1"/>
    <col min="3" max="3" width="15.42578125" style="17" bestFit="1" customWidth="1"/>
    <col min="4" max="4" width="39.7109375" style="16" bestFit="1" customWidth="1"/>
    <col min="5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285</v>
      </c>
      <c r="B6" s="60">
        <v>6</v>
      </c>
      <c r="C6" s="60">
        <v>6</v>
      </c>
      <c r="D6" s="61" t="s">
        <v>283</v>
      </c>
      <c r="E6" s="61" t="s">
        <v>284</v>
      </c>
      <c r="F6" s="28"/>
    </row>
    <row r="7" spans="1:6" s="29" customFormat="1">
      <c r="A7" s="60" t="s">
        <v>203</v>
      </c>
      <c r="B7" s="60">
        <v>4</v>
      </c>
      <c r="C7" s="60">
        <v>4</v>
      </c>
      <c r="D7" s="61" t="s">
        <v>204</v>
      </c>
      <c r="E7" s="61" t="s">
        <v>205</v>
      </c>
      <c r="F7" s="28"/>
    </row>
    <row r="8" spans="1:6" s="29" customFormat="1">
      <c r="A8" s="60" t="s">
        <v>292</v>
      </c>
      <c r="B8" s="60">
        <v>6</v>
      </c>
      <c r="C8" s="60">
        <v>6</v>
      </c>
      <c r="D8" s="61" t="s">
        <v>293</v>
      </c>
      <c r="E8" s="61" t="s">
        <v>294</v>
      </c>
      <c r="F8" s="28"/>
    </row>
    <row r="9" spans="1:6" s="29" customFormat="1">
      <c r="A9" s="60" t="s">
        <v>40</v>
      </c>
      <c r="B9" s="60">
        <v>1</v>
      </c>
      <c r="C9" s="60">
        <v>1</v>
      </c>
      <c r="D9" s="61" t="s">
        <v>41</v>
      </c>
      <c r="E9" s="61" t="s">
        <v>42</v>
      </c>
      <c r="F9" s="28"/>
    </row>
    <row r="10" spans="1:6" s="29" customFormat="1">
      <c r="A10" s="60" t="s">
        <v>32</v>
      </c>
      <c r="B10" s="60">
        <v>1</v>
      </c>
      <c r="C10" s="60">
        <v>1</v>
      </c>
      <c r="D10" s="61" t="s">
        <v>33</v>
      </c>
      <c r="E10" s="61" t="s">
        <v>34</v>
      </c>
      <c r="F10" s="28"/>
    </row>
    <row r="11" spans="1:6" s="29" customFormat="1">
      <c r="A11" s="40"/>
      <c r="B11" s="40"/>
      <c r="C11" s="40"/>
      <c r="D11" s="41"/>
      <c r="E11" s="41"/>
      <c r="F11" s="28"/>
    </row>
    <row r="12" spans="1:6" s="29" customFormat="1">
      <c r="A12" s="40"/>
      <c r="B12" s="40"/>
      <c r="C12" s="40"/>
      <c r="D12" s="41"/>
      <c r="E12" s="41"/>
      <c r="F12" s="28"/>
    </row>
    <row r="13" spans="1:6" s="29" customFormat="1">
      <c r="A13" s="40"/>
      <c r="B13" s="55" t="s">
        <v>455</v>
      </c>
      <c r="C13" s="56" t="s">
        <v>456</v>
      </c>
      <c r="D13" s="41"/>
      <c r="E13" s="41"/>
      <c r="F13" s="28"/>
    </row>
    <row r="14" spans="1:6" s="29" customFormat="1">
      <c r="A14" s="40"/>
      <c r="B14" s="55"/>
      <c r="C14" s="57" t="s">
        <v>457</v>
      </c>
      <c r="D14" s="41"/>
      <c r="E14" s="41"/>
      <c r="F14" s="28"/>
    </row>
    <row r="15" spans="1:6" s="29" customFormat="1">
      <c r="A15" s="40"/>
      <c r="B15" s="55"/>
      <c r="C15" s="58" t="s">
        <v>458</v>
      </c>
      <c r="D15" s="41"/>
      <c r="E15" s="41"/>
      <c r="F15" s="28"/>
    </row>
    <row r="16" spans="1:6" s="29" customFormat="1">
      <c r="A16" s="40"/>
      <c r="B16" s="40"/>
      <c r="C16" s="40"/>
      <c r="D16" s="41"/>
      <c r="E16" s="41"/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3:B15"/>
  </mergeCells>
  <conditionalFormatting sqref="A6:E6">
    <cfRule type="expression" dxfId="74" priority="15">
      <formula>$C$6&lt;&gt;$B$6</formula>
    </cfRule>
    <cfRule type="expression" dxfId="73" priority="14">
      <formula>$C$6="NO VA HOY"</formula>
    </cfRule>
    <cfRule type="expression" dxfId="72" priority="13">
      <formula>$B$6=0</formula>
    </cfRule>
  </conditionalFormatting>
  <conditionalFormatting sqref="A7:E7">
    <cfRule type="expression" dxfId="71" priority="12">
      <formula>$C$7&lt;&gt;$B$7</formula>
    </cfRule>
    <cfRule type="expression" dxfId="70" priority="11">
      <formula>$C$7="NO VA HOY"</formula>
    </cfRule>
    <cfRule type="expression" dxfId="69" priority="10">
      <formula>$B$7=0</formula>
    </cfRule>
  </conditionalFormatting>
  <conditionalFormatting sqref="A8:E8">
    <cfRule type="expression" dxfId="68" priority="9">
      <formula>$C$8&lt;&gt;$B$8</formula>
    </cfRule>
    <cfRule type="expression" dxfId="67" priority="8">
      <formula>$C$8="NO VA HOY"</formula>
    </cfRule>
    <cfRule type="expression" dxfId="66" priority="7">
      <formula>$B$8=0</formula>
    </cfRule>
  </conditionalFormatting>
  <conditionalFormatting sqref="A9:E9">
    <cfRule type="expression" dxfId="65" priority="6">
      <formula>$C$9&lt;&gt;$B$9</formula>
    </cfRule>
    <cfRule type="expression" dxfId="64" priority="5">
      <formula>$C$9="NO VA HOY"</formula>
    </cfRule>
    <cfRule type="expression" dxfId="63" priority="4">
      <formula>$B$9=0</formula>
    </cfRule>
  </conditionalFormatting>
  <conditionalFormatting sqref="A10:E10">
    <cfRule type="expression" dxfId="62" priority="3">
      <formula>$C$10&lt;&gt;$B$10</formula>
    </cfRule>
    <cfRule type="expression" dxfId="61" priority="2">
      <formula>$C$10="NO VA HOY"</formula>
    </cfRule>
    <cfRule type="expression" dxfId="60" priority="1">
      <formula>$B$10=0</formula>
    </cfRule>
  </conditionalFormatting>
  <pageMargins left="0.7" right="0.7" top="0.75" bottom="0.75" header="0.3" footer="0.3"/>
  <pageSetup paperSize="9" orientation="landscape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/>
  <dimension ref="A1:F231"/>
  <sheetViews>
    <sheetView workbookViewId="0">
      <selection activeCell="A5" sqref="A5:E13"/>
    </sheetView>
  </sheetViews>
  <sheetFormatPr defaultColWidth="11.42578125" defaultRowHeight="12"/>
  <cols>
    <col min="1" max="1" width="34.57031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167</v>
      </c>
      <c r="B6" s="60">
        <v>3</v>
      </c>
      <c r="C6" s="60">
        <v>3</v>
      </c>
      <c r="D6" s="61" t="s">
        <v>168</v>
      </c>
      <c r="E6" s="61" t="s">
        <v>169</v>
      </c>
      <c r="F6" s="28"/>
    </row>
    <row r="7" spans="1:6" s="29" customFormat="1">
      <c r="A7" s="60" t="s">
        <v>319</v>
      </c>
      <c r="B7" s="60">
        <v>6</v>
      </c>
      <c r="C7" s="60">
        <v>6</v>
      </c>
      <c r="D7" s="61" t="s">
        <v>320</v>
      </c>
      <c r="E7" s="61" t="s">
        <v>321</v>
      </c>
      <c r="F7" s="28"/>
    </row>
    <row r="8" spans="1:6" s="29" customFormat="1">
      <c r="A8" s="60" t="s">
        <v>227</v>
      </c>
      <c r="B8" s="60">
        <v>5</v>
      </c>
      <c r="C8" s="60">
        <v>5</v>
      </c>
      <c r="D8" s="61" t="s">
        <v>228</v>
      </c>
      <c r="E8" s="61" t="s">
        <v>229</v>
      </c>
      <c r="F8" s="28"/>
    </row>
    <row r="9" spans="1:6" s="29" customFormat="1">
      <c r="A9" s="60" t="s">
        <v>312</v>
      </c>
      <c r="B9" s="60">
        <v>6</v>
      </c>
      <c r="C9" s="60">
        <v>6</v>
      </c>
      <c r="D9" s="61" t="s">
        <v>313</v>
      </c>
      <c r="E9" s="61" t="s">
        <v>314</v>
      </c>
      <c r="F9" s="28"/>
    </row>
    <row r="10" spans="1:6" s="29" customFormat="1">
      <c r="A10" s="60" t="s">
        <v>147</v>
      </c>
      <c r="B10" s="60">
        <v>3</v>
      </c>
      <c r="C10" s="60">
        <v>3</v>
      </c>
      <c r="D10" s="61" t="s">
        <v>148</v>
      </c>
      <c r="E10" s="61" t="s">
        <v>149</v>
      </c>
      <c r="F10" s="28"/>
    </row>
    <row r="11" spans="1:6" s="29" customFormat="1">
      <c r="A11" s="60" t="s">
        <v>64</v>
      </c>
      <c r="B11" s="60">
        <v>1</v>
      </c>
      <c r="C11" s="60">
        <v>1</v>
      </c>
      <c r="D11" s="61" t="s">
        <v>61</v>
      </c>
      <c r="E11" s="61" t="s">
        <v>62</v>
      </c>
      <c r="F11" s="28"/>
    </row>
    <row r="12" spans="1:6" s="29" customFormat="1">
      <c r="A12" s="60" t="s">
        <v>354</v>
      </c>
      <c r="B12" s="60">
        <v>7</v>
      </c>
      <c r="C12" s="60">
        <v>7</v>
      </c>
      <c r="D12" s="61" t="s">
        <v>355</v>
      </c>
      <c r="E12" s="61" t="s">
        <v>356</v>
      </c>
      <c r="F12" s="28"/>
    </row>
    <row r="13" spans="1:6" s="29" customFormat="1">
      <c r="A13" s="60" t="s">
        <v>333</v>
      </c>
      <c r="B13" s="60">
        <v>7</v>
      </c>
      <c r="C13" s="60">
        <v>7</v>
      </c>
      <c r="D13" s="61" t="s">
        <v>334</v>
      </c>
      <c r="E13" s="61" t="s">
        <v>335</v>
      </c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40"/>
      <c r="C15" s="40"/>
      <c r="D15" s="41"/>
      <c r="E15" s="41"/>
      <c r="F15" s="28"/>
    </row>
    <row r="16" spans="1:6" s="29" customFormat="1">
      <c r="A16" s="40"/>
      <c r="B16" s="55" t="s">
        <v>455</v>
      </c>
      <c r="C16" s="56" t="s">
        <v>456</v>
      </c>
      <c r="D16" s="41"/>
      <c r="E16" s="41"/>
      <c r="F16" s="28"/>
    </row>
    <row r="17" spans="1:6" s="29" customFormat="1">
      <c r="A17" s="40"/>
      <c r="B17" s="55"/>
      <c r="C17" s="57" t="s">
        <v>457</v>
      </c>
      <c r="D17" s="41"/>
      <c r="E17" s="41"/>
      <c r="F17" s="28"/>
    </row>
    <row r="18" spans="1:6" s="29" customFormat="1">
      <c r="A18" s="40"/>
      <c r="B18" s="55"/>
      <c r="C18" s="58" t="s">
        <v>458</v>
      </c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6:B18"/>
  </mergeCells>
  <conditionalFormatting sqref="A6:E6">
    <cfRule type="expression" dxfId="59" priority="24">
      <formula>$C$6&lt;&gt;$B$6</formula>
    </cfRule>
    <cfRule type="expression" dxfId="58" priority="23">
      <formula>$C$6="NO VA HOY"</formula>
    </cfRule>
    <cfRule type="expression" dxfId="57" priority="22">
      <formula>$B$6=0</formula>
    </cfRule>
  </conditionalFormatting>
  <conditionalFormatting sqref="A7:E7">
    <cfRule type="expression" dxfId="56" priority="21">
      <formula>$C$7&lt;&gt;$B$7</formula>
    </cfRule>
    <cfRule type="expression" dxfId="55" priority="20">
      <formula>$C$7="NO VA HOY"</formula>
    </cfRule>
    <cfRule type="expression" dxfId="54" priority="19">
      <formula>$B$7=0</formula>
    </cfRule>
  </conditionalFormatting>
  <conditionalFormatting sqref="A8:E8">
    <cfRule type="expression" dxfId="53" priority="18">
      <formula>$C$8&lt;&gt;$B$8</formula>
    </cfRule>
    <cfRule type="expression" dxfId="52" priority="17">
      <formula>$C$8="NO VA HOY"</formula>
    </cfRule>
    <cfRule type="expression" dxfId="51" priority="16">
      <formula>$B$8=0</formula>
    </cfRule>
  </conditionalFormatting>
  <conditionalFormatting sqref="A9:E9">
    <cfRule type="expression" dxfId="50" priority="15">
      <formula>$C$9&lt;&gt;$B$9</formula>
    </cfRule>
    <cfRule type="expression" dxfId="49" priority="14">
      <formula>$C$9="NO VA HOY"</formula>
    </cfRule>
    <cfRule type="expression" dxfId="48" priority="13">
      <formula>$B$9=0</formula>
    </cfRule>
  </conditionalFormatting>
  <conditionalFormatting sqref="A10:E10">
    <cfRule type="expression" dxfId="47" priority="12">
      <formula>$C$10&lt;&gt;$B$10</formula>
    </cfRule>
    <cfRule type="expression" dxfId="46" priority="11">
      <formula>$C$10="NO VA HOY"</formula>
    </cfRule>
    <cfRule type="expression" dxfId="45" priority="10">
      <formula>$B$10=0</formula>
    </cfRule>
  </conditionalFormatting>
  <conditionalFormatting sqref="A11:E11">
    <cfRule type="expression" dxfId="44" priority="9">
      <formula>$C$11&lt;&gt;$B$11</formula>
    </cfRule>
    <cfRule type="expression" dxfId="43" priority="8">
      <formula>$C$11="NO VA HOY"</formula>
    </cfRule>
    <cfRule type="expression" dxfId="42" priority="7">
      <formula>$B$11=0</formula>
    </cfRule>
  </conditionalFormatting>
  <conditionalFormatting sqref="A12:E12">
    <cfRule type="expression" dxfId="41" priority="6">
      <formula>$C$12&lt;&gt;$B$12</formula>
    </cfRule>
    <cfRule type="expression" dxfId="40" priority="5">
      <formula>$C$12="NO VA HOY"</formula>
    </cfRule>
    <cfRule type="expression" dxfId="39" priority="4">
      <formula>$B$12=0</formula>
    </cfRule>
  </conditionalFormatting>
  <conditionalFormatting sqref="A13:E13">
    <cfRule type="expression" dxfId="38" priority="3">
      <formula>$C$13&lt;&gt;$B$13</formula>
    </cfRule>
    <cfRule type="expression" dxfId="37" priority="2">
      <formula>$C$13="NO VA HOY"</formula>
    </cfRule>
    <cfRule type="expression" dxfId="36" priority="1">
      <formula>$B$13=0</formula>
    </cfRule>
  </conditionalFormatting>
  <pageMargins left="0.7" right="0.7" top="0.75" bottom="0.75" header="0.3" footer="0.3"/>
  <pageSetup paperSize="9" orientation="landscape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2"/>
  <dimension ref="A1:F231"/>
  <sheetViews>
    <sheetView workbookViewId="0">
      <selection activeCell="A5" sqref="A5:E12"/>
    </sheetView>
  </sheetViews>
  <sheetFormatPr defaultColWidth="11.42578125" defaultRowHeight="12"/>
  <cols>
    <col min="1" max="1" width="31.8554687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310</v>
      </c>
      <c r="B6" s="60">
        <v>6</v>
      </c>
      <c r="C6" s="60">
        <v>6</v>
      </c>
      <c r="D6" s="61" t="s">
        <v>308</v>
      </c>
      <c r="E6" s="61" t="s">
        <v>309</v>
      </c>
      <c r="F6" s="28"/>
    </row>
    <row r="7" spans="1:6" s="29" customFormat="1">
      <c r="A7" s="60" t="s">
        <v>411</v>
      </c>
      <c r="B7" s="60">
        <v>8</v>
      </c>
      <c r="C7" s="60">
        <v>8</v>
      </c>
      <c r="D7" s="61" t="s">
        <v>412</v>
      </c>
      <c r="E7" s="61" t="s">
        <v>413</v>
      </c>
      <c r="F7" s="28"/>
    </row>
    <row r="8" spans="1:6" s="29" customFormat="1">
      <c r="A8" s="60" t="s">
        <v>60</v>
      </c>
      <c r="B8" s="60">
        <v>1</v>
      </c>
      <c r="C8" s="60">
        <v>1</v>
      </c>
      <c r="D8" s="61" t="s">
        <v>61</v>
      </c>
      <c r="E8" s="61" t="s">
        <v>62</v>
      </c>
      <c r="F8" s="28"/>
    </row>
    <row r="9" spans="1:6" s="29" customFormat="1">
      <c r="A9" s="60" t="s">
        <v>65</v>
      </c>
      <c r="B9" s="60">
        <v>1</v>
      </c>
      <c r="C9" s="60">
        <v>1</v>
      </c>
      <c r="D9" s="61">
        <v>610744047</v>
      </c>
      <c r="E9" s="61">
        <v>625320304</v>
      </c>
      <c r="F9" s="28"/>
    </row>
    <row r="10" spans="1:6" s="29" customFormat="1">
      <c r="A10" s="60" t="s">
        <v>286</v>
      </c>
      <c r="B10" s="60">
        <v>6</v>
      </c>
      <c r="C10" s="60">
        <v>6</v>
      </c>
      <c r="D10" s="61" t="s">
        <v>287</v>
      </c>
      <c r="E10" s="61" t="s">
        <v>287</v>
      </c>
      <c r="F10" s="28"/>
    </row>
    <row r="11" spans="1:6" s="29" customFormat="1">
      <c r="A11" s="60" t="s">
        <v>37</v>
      </c>
      <c r="B11" s="60">
        <v>1</v>
      </c>
      <c r="C11" s="60">
        <v>1</v>
      </c>
      <c r="D11" s="61" t="s">
        <v>38</v>
      </c>
      <c r="E11" s="61" t="s">
        <v>39</v>
      </c>
      <c r="F11" s="28"/>
    </row>
    <row r="12" spans="1:6" s="29" customFormat="1">
      <c r="A12" s="60" t="s">
        <v>404</v>
      </c>
      <c r="B12" s="60">
        <v>8</v>
      </c>
      <c r="C12" s="60">
        <v>8</v>
      </c>
      <c r="D12" s="61">
        <v>955722152</v>
      </c>
      <c r="E12" s="61">
        <v>669213132</v>
      </c>
      <c r="F12" s="28"/>
    </row>
    <row r="13" spans="1:6" s="29" customFormat="1">
      <c r="A13" s="40"/>
      <c r="B13" s="40"/>
      <c r="C13" s="40"/>
      <c r="D13" s="41"/>
      <c r="E13" s="41"/>
      <c r="F13" s="28"/>
    </row>
    <row r="14" spans="1:6" s="29" customFormat="1">
      <c r="A14" s="40"/>
      <c r="B14" s="40"/>
      <c r="C14" s="40"/>
      <c r="D14" s="41"/>
      <c r="E14" s="41"/>
      <c r="F14" s="28"/>
    </row>
    <row r="15" spans="1:6" s="29" customFormat="1">
      <c r="A15" s="40"/>
      <c r="B15" s="55" t="s">
        <v>455</v>
      </c>
      <c r="C15" s="56" t="s">
        <v>456</v>
      </c>
      <c r="D15" s="41"/>
      <c r="E15" s="41"/>
      <c r="F15" s="28"/>
    </row>
    <row r="16" spans="1:6" s="29" customFormat="1">
      <c r="A16" s="40"/>
      <c r="B16" s="55"/>
      <c r="C16" s="57" t="s">
        <v>457</v>
      </c>
      <c r="D16" s="41"/>
      <c r="E16" s="41"/>
      <c r="F16" s="28"/>
    </row>
    <row r="17" spans="1:6" s="29" customFormat="1">
      <c r="A17" s="40"/>
      <c r="B17" s="55"/>
      <c r="C17" s="58" t="s">
        <v>458</v>
      </c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5:B17"/>
  </mergeCells>
  <conditionalFormatting sqref="A6:E6">
    <cfRule type="expression" dxfId="35" priority="21">
      <formula>$C$6&lt;&gt;$B$6</formula>
    </cfRule>
    <cfRule type="expression" dxfId="34" priority="20">
      <formula>$C$6="NO VA HOY"</formula>
    </cfRule>
    <cfRule type="expression" dxfId="33" priority="19">
      <formula>$B$6=0</formula>
    </cfRule>
  </conditionalFormatting>
  <conditionalFormatting sqref="A7:E7">
    <cfRule type="expression" dxfId="32" priority="18">
      <formula>$C$7&lt;&gt;$B$7</formula>
    </cfRule>
    <cfRule type="expression" dxfId="31" priority="17">
      <formula>$C$7="NO VA HOY"</formula>
    </cfRule>
    <cfRule type="expression" dxfId="30" priority="16">
      <formula>$B$7=0</formula>
    </cfRule>
  </conditionalFormatting>
  <conditionalFormatting sqref="A8:E8">
    <cfRule type="expression" dxfId="29" priority="15">
      <formula>$C$8&lt;&gt;$B$8</formula>
    </cfRule>
    <cfRule type="expression" dxfId="28" priority="14">
      <formula>$C$8="NO VA HOY"</formula>
    </cfRule>
    <cfRule type="expression" dxfId="27" priority="13">
      <formula>$B$8=0</formula>
    </cfRule>
  </conditionalFormatting>
  <conditionalFormatting sqref="A9:E9">
    <cfRule type="expression" dxfId="26" priority="12">
      <formula>$C$9&lt;&gt;$B$9</formula>
    </cfRule>
    <cfRule type="expression" dxfId="25" priority="11">
      <formula>$C$9="NO VA HOY"</formula>
    </cfRule>
    <cfRule type="expression" dxfId="24" priority="10">
      <formula>$B$9=0</formula>
    </cfRule>
  </conditionalFormatting>
  <conditionalFormatting sqref="A10:E10">
    <cfRule type="expression" dxfId="23" priority="9">
      <formula>$C$10&lt;&gt;$B$10</formula>
    </cfRule>
    <cfRule type="expression" dxfId="22" priority="8">
      <formula>$C$10="NO VA HOY"</formula>
    </cfRule>
    <cfRule type="expression" dxfId="21" priority="7">
      <formula>$B$10=0</formula>
    </cfRule>
  </conditionalFormatting>
  <conditionalFormatting sqref="A11:E11">
    <cfRule type="expression" dxfId="20" priority="6">
      <formula>$C$11&lt;&gt;$B$11</formula>
    </cfRule>
    <cfRule type="expression" dxfId="19" priority="5">
      <formula>$C$11="NO VA HOY"</formula>
    </cfRule>
    <cfRule type="expression" dxfId="18" priority="4">
      <formula>$B$11=0</formula>
    </cfRule>
  </conditionalFormatting>
  <conditionalFormatting sqref="A12:E12">
    <cfRule type="expression" dxfId="17" priority="3">
      <formula>$C$12&lt;&gt;$B$12</formula>
    </cfRule>
    <cfRule type="expression" dxfId="16" priority="2">
      <formula>$C$12="NO VA HOY"</formula>
    </cfRule>
    <cfRule type="expression" dxfId="15" priority="1">
      <formula>$B$12=0</formula>
    </cfRule>
  </conditionalFormatting>
  <pageMargins left="0.7" right="0.7" top="0.75" bottom="0.75" header="0.3" footer="0.3"/>
  <pageSetup paperSize="9" orientation="landscape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A1:F231"/>
  <sheetViews>
    <sheetView workbookViewId="0">
      <selection activeCell="A5" sqref="A5:E10"/>
    </sheetView>
  </sheetViews>
  <sheetFormatPr defaultColWidth="11.42578125" defaultRowHeight="12"/>
  <cols>
    <col min="1" max="1" width="34.28515625" style="17" bestFit="1" customWidth="1"/>
    <col min="2" max="2" width="11.42578125" style="17" bestFit="1" customWidth="1"/>
    <col min="3" max="3" width="15.42578125" style="17" bestFit="1" customWidth="1"/>
    <col min="4" max="5" width="30" style="16" bestFit="1" customWidth="1"/>
    <col min="6" max="6" width="10.140625" style="16" bestFit="1" customWidth="1"/>
    <col min="7" max="7" width="9.42578125" style="17" bestFit="1" customWidth="1"/>
    <col min="8" max="8" width="15.140625" style="17" bestFit="1" customWidth="1"/>
    <col min="9" max="9" width="17.7109375" style="17" bestFit="1" customWidth="1"/>
    <col min="10" max="16384" width="11.42578125" style="17"/>
  </cols>
  <sheetData>
    <row r="1" spans="1:6" ht="13.5" customHeight="1" thickBot="1">
      <c r="C1" s="25"/>
      <c r="D1" s="18"/>
      <c r="E1" s="19"/>
      <c r="F1" s="20"/>
    </row>
    <row r="2" spans="1:6" ht="13.5" customHeight="1" thickBot="1">
      <c r="A2" s="52">
        <f ca="1">TODAY()</f>
        <v>41741</v>
      </c>
      <c r="B2" s="53"/>
      <c r="C2" s="54"/>
      <c r="D2" s="21" t="s">
        <v>439</v>
      </c>
      <c r="E2" s="19"/>
      <c r="F2" s="20"/>
    </row>
    <row r="3" spans="1:6">
      <c r="B3" s="22"/>
      <c r="C3" s="25"/>
      <c r="D3" s="18"/>
      <c r="E3" s="19"/>
      <c r="F3" s="20"/>
    </row>
    <row r="4" spans="1:6" s="26" customFormat="1">
      <c r="B4" s="24"/>
      <c r="C4" s="25"/>
      <c r="D4" s="25"/>
      <c r="E4" s="23"/>
      <c r="F4" s="23"/>
    </row>
    <row r="5" spans="1:6" s="27" customFormat="1">
      <c r="A5" s="63" t="str">
        <f>Censo!B5</f>
        <v>Nombre del alumno</v>
      </c>
      <c r="B5" s="63" t="s">
        <v>433</v>
      </c>
      <c r="C5" s="59" t="s">
        <v>432</v>
      </c>
      <c r="D5" s="59" t="str">
        <f>Censo!F5</f>
        <v>Tel. Padre</v>
      </c>
      <c r="E5" s="59" t="str">
        <f>Censo!G5</f>
        <v>Tel. Madre</v>
      </c>
    </row>
    <row r="6" spans="1:6" s="29" customFormat="1">
      <c r="A6" s="60" t="s">
        <v>324</v>
      </c>
      <c r="B6" s="60">
        <v>6</v>
      </c>
      <c r="C6" s="60">
        <v>6</v>
      </c>
      <c r="D6" s="61" t="s">
        <v>320</v>
      </c>
      <c r="E6" s="61" t="s">
        <v>321</v>
      </c>
      <c r="F6" s="28"/>
    </row>
    <row r="7" spans="1:6" s="29" customFormat="1">
      <c r="A7" s="60" t="s">
        <v>282</v>
      </c>
      <c r="B7" s="60">
        <v>6</v>
      </c>
      <c r="C7" s="60">
        <v>6</v>
      </c>
      <c r="D7" s="61" t="s">
        <v>283</v>
      </c>
      <c r="E7" s="61" t="s">
        <v>284</v>
      </c>
      <c r="F7" s="28"/>
    </row>
    <row r="8" spans="1:6" s="29" customFormat="1">
      <c r="A8" s="60" t="s">
        <v>30</v>
      </c>
      <c r="B8" s="60">
        <v>1</v>
      </c>
      <c r="C8" s="60">
        <v>1</v>
      </c>
      <c r="D8" s="61" t="s">
        <v>27</v>
      </c>
      <c r="E8" s="61" t="s">
        <v>28</v>
      </c>
      <c r="F8" s="28"/>
    </row>
    <row r="9" spans="1:6" s="29" customFormat="1">
      <c r="A9" s="60" t="s">
        <v>315</v>
      </c>
      <c r="B9" s="60">
        <v>6</v>
      </c>
      <c r="C9" s="60">
        <v>6</v>
      </c>
      <c r="D9" s="61">
        <v>608556880</v>
      </c>
      <c r="E9" s="61">
        <v>600544499</v>
      </c>
      <c r="F9" s="28"/>
    </row>
    <row r="10" spans="1:6" s="29" customFormat="1">
      <c r="A10" s="60" t="s">
        <v>235</v>
      </c>
      <c r="B10" s="60">
        <v>5</v>
      </c>
      <c r="C10" s="60">
        <v>5</v>
      </c>
      <c r="D10" s="61">
        <v>629685985</v>
      </c>
      <c r="E10" s="61">
        <v>637468207</v>
      </c>
      <c r="F10" s="28"/>
    </row>
    <row r="11" spans="1:6" s="29" customFormat="1">
      <c r="A11" s="40"/>
      <c r="B11" s="40"/>
      <c r="C11" s="40"/>
      <c r="D11" s="41"/>
      <c r="E11" s="41"/>
      <c r="F11" s="28"/>
    </row>
    <row r="12" spans="1:6" s="29" customFormat="1">
      <c r="A12" s="40"/>
      <c r="B12" s="40"/>
      <c r="C12" s="40"/>
      <c r="D12" s="41"/>
      <c r="E12" s="41"/>
      <c r="F12" s="28"/>
    </row>
    <row r="13" spans="1:6" s="29" customFormat="1">
      <c r="A13" s="40"/>
      <c r="B13" s="55" t="s">
        <v>455</v>
      </c>
      <c r="C13" s="56" t="s">
        <v>456</v>
      </c>
      <c r="D13" s="41"/>
      <c r="E13" s="41"/>
      <c r="F13" s="28"/>
    </row>
    <row r="14" spans="1:6" s="29" customFormat="1">
      <c r="A14" s="40"/>
      <c r="B14" s="55"/>
      <c r="C14" s="57" t="s">
        <v>457</v>
      </c>
      <c r="D14" s="41"/>
      <c r="E14" s="41"/>
      <c r="F14" s="28"/>
    </row>
    <row r="15" spans="1:6" s="29" customFormat="1">
      <c r="A15" s="40"/>
      <c r="B15" s="55"/>
      <c r="C15" s="58" t="s">
        <v>458</v>
      </c>
      <c r="D15" s="41"/>
      <c r="E15" s="41"/>
      <c r="F15" s="28"/>
    </row>
    <row r="16" spans="1:6" s="29" customFormat="1">
      <c r="A16" s="40"/>
      <c r="B16" s="40"/>
      <c r="C16" s="40"/>
      <c r="D16" s="41"/>
      <c r="E16" s="41"/>
      <c r="F16" s="28"/>
    </row>
    <row r="17" spans="1:6" s="29" customFormat="1">
      <c r="A17" s="40"/>
      <c r="B17" s="40"/>
      <c r="C17" s="40"/>
      <c r="D17" s="41"/>
      <c r="E17" s="41"/>
      <c r="F17" s="28"/>
    </row>
    <row r="18" spans="1:6" s="29" customFormat="1">
      <c r="A18" s="40"/>
      <c r="B18" s="40"/>
      <c r="C18" s="40"/>
      <c r="D18" s="41"/>
      <c r="E18" s="41"/>
      <c r="F18" s="28"/>
    </row>
    <row r="19" spans="1:6" s="29" customFormat="1">
      <c r="A19" s="40"/>
      <c r="B19" s="40"/>
      <c r="C19" s="40"/>
      <c r="D19" s="41"/>
      <c r="E19" s="41"/>
      <c r="F19" s="28"/>
    </row>
    <row r="20" spans="1:6" s="29" customFormat="1">
      <c r="A20" s="40"/>
      <c r="B20" s="40"/>
      <c r="C20" s="40"/>
      <c r="D20" s="41"/>
      <c r="E20" s="41"/>
      <c r="F20" s="28"/>
    </row>
    <row r="21" spans="1:6" s="29" customFormat="1">
      <c r="A21" s="40"/>
      <c r="B21" s="40"/>
      <c r="C21" s="40"/>
      <c r="D21" s="41"/>
      <c r="E21" s="41"/>
      <c r="F21" s="28"/>
    </row>
    <row r="22" spans="1:6" s="29" customFormat="1">
      <c r="A22" s="40"/>
      <c r="B22" s="40"/>
      <c r="C22" s="40"/>
      <c r="D22" s="41"/>
      <c r="E22" s="41"/>
      <c r="F22" s="28"/>
    </row>
    <row r="23" spans="1:6" s="29" customFormat="1">
      <c r="A23" s="40"/>
      <c r="B23" s="40"/>
      <c r="C23" s="40"/>
      <c r="D23" s="41"/>
      <c r="E23" s="41"/>
      <c r="F23" s="28"/>
    </row>
    <row r="24" spans="1:6" s="29" customFormat="1">
      <c r="A24" s="40"/>
      <c r="B24" s="40"/>
      <c r="C24" s="40"/>
      <c r="D24" s="41"/>
      <c r="E24" s="41"/>
      <c r="F24" s="28"/>
    </row>
    <row r="25" spans="1:6" s="29" customFormat="1">
      <c r="A25" s="40"/>
      <c r="B25" s="40"/>
      <c r="C25" s="40"/>
      <c r="D25" s="41"/>
      <c r="E25" s="41"/>
      <c r="F25" s="28"/>
    </row>
    <row r="26" spans="1:6" s="29" customFormat="1">
      <c r="A26" s="40"/>
      <c r="B26" s="40"/>
      <c r="C26" s="40"/>
      <c r="D26" s="41"/>
      <c r="E26" s="41"/>
      <c r="F26" s="28"/>
    </row>
    <row r="27" spans="1:6" s="29" customFormat="1">
      <c r="A27" s="40"/>
      <c r="B27" s="40"/>
      <c r="C27" s="40"/>
      <c r="D27" s="41"/>
      <c r="E27" s="41"/>
      <c r="F27" s="28"/>
    </row>
    <row r="28" spans="1:6" s="29" customFormat="1">
      <c r="A28" s="40"/>
      <c r="B28" s="40"/>
      <c r="C28" s="40"/>
      <c r="D28" s="41"/>
      <c r="E28" s="41"/>
      <c r="F28" s="28"/>
    </row>
    <row r="29" spans="1:6" s="29" customFormat="1">
      <c r="A29" s="40"/>
      <c r="B29" s="40"/>
      <c r="C29" s="40"/>
      <c r="D29" s="41"/>
      <c r="E29" s="41"/>
      <c r="F29" s="28"/>
    </row>
    <row r="30" spans="1:6" s="29" customFormat="1">
      <c r="A30" s="40"/>
      <c r="B30" s="40"/>
      <c r="C30" s="40"/>
      <c r="D30" s="41"/>
      <c r="E30" s="41"/>
      <c r="F30" s="28"/>
    </row>
    <row r="31" spans="1:6" s="29" customFormat="1">
      <c r="A31" s="40"/>
      <c r="B31" s="40"/>
      <c r="C31" s="40"/>
      <c r="D31" s="41"/>
      <c r="E31" s="41"/>
      <c r="F31" s="28"/>
    </row>
    <row r="32" spans="1:6" s="29" customFormat="1">
      <c r="A32" s="40"/>
      <c r="B32" s="40"/>
      <c r="C32" s="40"/>
      <c r="D32" s="41"/>
      <c r="E32" s="41"/>
      <c r="F32" s="28"/>
    </row>
    <row r="33" spans="1:6" s="29" customFormat="1">
      <c r="A33" s="40"/>
      <c r="B33" s="40"/>
      <c r="C33" s="40"/>
      <c r="D33" s="41"/>
      <c r="E33" s="41"/>
      <c r="F33" s="28"/>
    </row>
    <row r="34" spans="1:6" s="29" customFormat="1">
      <c r="A34" s="40"/>
      <c r="B34" s="40"/>
      <c r="C34" s="40"/>
      <c r="D34" s="41"/>
      <c r="E34" s="41"/>
      <c r="F34" s="28"/>
    </row>
    <row r="35" spans="1:6" s="29" customFormat="1">
      <c r="A35" s="40"/>
      <c r="B35" s="40"/>
      <c r="C35" s="40"/>
      <c r="D35" s="41"/>
      <c r="E35" s="41"/>
      <c r="F35" s="28"/>
    </row>
    <row r="36" spans="1:6" s="29" customFormat="1">
      <c r="A36" s="40"/>
      <c r="B36" s="40"/>
      <c r="C36" s="40"/>
      <c r="D36" s="41"/>
      <c r="E36" s="41"/>
      <c r="F36" s="28"/>
    </row>
    <row r="37" spans="1:6" s="29" customFormat="1">
      <c r="A37" s="40"/>
      <c r="B37" s="40"/>
      <c r="C37" s="40"/>
      <c r="D37" s="41"/>
      <c r="E37" s="41"/>
      <c r="F37" s="28"/>
    </row>
    <row r="38" spans="1:6" s="29" customFormat="1">
      <c r="A38" s="40"/>
      <c r="B38" s="40"/>
      <c r="C38" s="40"/>
      <c r="D38" s="41"/>
      <c r="E38" s="41"/>
      <c r="F38" s="28"/>
    </row>
    <row r="39" spans="1:6" s="29" customFormat="1">
      <c r="A39" s="40"/>
      <c r="B39" s="40"/>
      <c r="C39" s="40"/>
      <c r="D39" s="41"/>
      <c r="E39" s="41"/>
      <c r="F39" s="28"/>
    </row>
    <row r="40" spans="1:6" s="29" customFormat="1">
      <c r="A40" s="40"/>
      <c r="B40" s="40"/>
      <c r="C40" s="40"/>
      <c r="D40" s="41"/>
      <c r="E40" s="41"/>
      <c r="F40" s="28"/>
    </row>
    <row r="41" spans="1:6" s="29" customFormat="1">
      <c r="A41" s="26"/>
      <c r="B41" s="26"/>
      <c r="D41" s="28"/>
      <c r="E41" s="28"/>
      <c r="F41" s="28"/>
    </row>
    <row r="42" spans="1:6" s="29" customFormat="1">
      <c r="A42" s="26"/>
      <c r="B42" s="26"/>
      <c r="D42" s="28"/>
      <c r="E42" s="28"/>
      <c r="F42" s="28"/>
    </row>
    <row r="43" spans="1:6" s="29" customFormat="1">
      <c r="A43" s="26"/>
      <c r="B43" s="26"/>
      <c r="D43" s="28"/>
      <c r="E43" s="28"/>
      <c r="F43" s="28"/>
    </row>
    <row r="44" spans="1:6" s="29" customFormat="1">
      <c r="A44" s="26"/>
      <c r="B44" s="26"/>
      <c r="D44" s="28"/>
      <c r="E44" s="28"/>
      <c r="F44" s="28"/>
    </row>
    <row r="45" spans="1:6" s="29" customFormat="1">
      <c r="A45" s="26"/>
      <c r="B45" s="26"/>
      <c r="D45" s="28"/>
      <c r="E45" s="28"/>
      <c r="F45" s="28"/>
    </row>
    <row r="46" spans="1:6" s="29" customFormat="1">
      <c r="A46" s="26"/>
      <c r="B46" s="26"/>
      <c r="D46" s="28"/>
      <c r="E46" s="28"/>
      <c r="F46" s="28"/>
    </row>
    <row r="47" spans="1:6" s="29" customFormat="1">
      <c r="A47" s="26"/>
      <c r="B47" s="26"/>
      <c r="D47" s="28"/>
      <c r="E47" s="28"/>
      <c r="F47" s="28"/>
    </row>
    <row r="48" spans="1:6" s="29" customFormat="1">
      <c r="A48" s="26"/>
      <c r="B48" s="26"/>
      <c r="D48" s="28"/>
      <c r="E48" s="28"/>
      <c r="F48" s="28"/>
    </row>
    <row r="49" spans="1:6" s="29" customFormat="1">
      <c r="A49" s="26"/>
      <c r="B49" s="26"/>
      <c r="D49" s="28"/>
      <c r="E49" s="28"/>
      <c r="F49" s="28"/>
    </row>
    <row r="50" spans="1:6" s="29" customFormat="1">
      <c r="A50" s="26"/>
      <c r="B50" s="26"/>
      <c r="D50" s="28"/>
      <c r="E50" s="28"/>
      <c r="F50" s="28"/>
    </row>
    <row r="51" spans="1:6" s="29" customFormat="1">
      <c r="A51" s="26"/>
      <c r="B51" s="26"/>
      <c r="D51" s="28"/>
      <c r="E51" s="28"/>
      <c r="F51" s="28"/>
    </row>
    <row r="52" spans="1:6" s="29" customFormat="1">
      <c r="A52" s="26"/>
      <c r="B52" s="26"/>
      <c r="D52" s="28"/>
      <c r="E52" s="28"/>
      <c r="F52" s="28"/>
    </row>
    <row r="53" spans="1:6" s="29" customFormat="1">
      <c r="A53" s="26"/>
      <c r="B53" s="26"/>
      <c r="D53" s="28"/>
      <c r="E53" s="28"/>
      <c r="F53" s="28"/>
    </row>
    <row r="54" spans="1:6" s="29" customFormat="1">
      <c r="A54" s="26"/>
      <c r="B54" s="26"/>
      <c r="D54" s="28"/>
      <c r="E54" s="28"/>
      <c r="F54" s="28"/>
    </row>
    <row r="55" spans="1:6" s="29" customFormat="1">
      <c r="A55" s="26"/>
      <c r="B55" s="26"/>
      <c r="D55" s="28"/>
      <c r="E55" s="28"/>
      <c r="F55" s="28"/>
    </row>
    <row r="56" spans="1:6" s="29" customFormat="1">
      <c r="A56" s="26"/>
      <c r="B56" s="26"/>
      <c r="D56" s="28"/>
      <c r="E56" s="28"/>
      <c r="F56" s="28"/>
    </row>
    <row r="57" spans="1:6" s="29" customFormat="1">
      <c r="A57" s="26"/>
      <c r="B57" s="26"/>
      <c r="D57" s="28"/>
      <c r="E57" s="28"/>
      <c r="F57" s="28"/>
    </row>
    <row r="58" spans="1:6" s="29" customFormat="1">
      <c r="A58" s="26"/>
      <c r="B58" s="26"/>
      <c r="D58" s="28"/>
      <c r="E58" s="28"/>
      <c r="F58" s="28"/>
    </row>
    <row r="59" spans="1:6" s="29" customFormat="1">
      <c r="A59" s="26"/>
      <c r="B59" s="26"/>
      <c r="D59" s="28"/>
      <c r="E59" s="28"/>
      <c r="F59" s="28"/>
    </row>
    <row r="60" spans="1:6" s="29" customFormat="1">
      <c r="A60" s="26"/>
      <c r="B60" s="26"/>
      <c r="D60" s="28"/>
      <c r="E60" s="28"/>
      <c r="F60" s="28"/>
    </row>
    <row r="61" spans="1:6" s="29" customFormat="1">
      <c r="A61" s="26"/>
      <c r="B61" s="26"/>
      <c r="D61" s="28"/>
      <c r="E61" s="28"/>
      <c r="F61" s="28"/>
    </row>
    <row r="62" spans="1:6" s="29" customFormat="1">
      <c r="A62" s="26"/>
      <c r="B62" s="26"/>
      <c r="D62" s="28"/>
      <c r="E62" s="28"/>
      <c r="F62" s="28"/>
    </row>
    <row r="63" spans="1:6" s="29" customFormat="1">
      <c r="A63" s="26"/>
      <c r="B63" s="26"/>
      <c r="D63" s="28"/>
      <c r="E63" s="28"/>
      <c r="F63" s="28"/>
    </row>
    <row r="64" spans="1:6" s="29" customFormat="1">
      <c r="A64" s="26"/>
      <c r="B64" s="26"/>
      <c r="D64" s="28"/>
      <c r="E64" s="28"/>
      <c r="F64" s="28"/>
    </row>
    <row r="65" spans="1:6" s="29" customFormat="1">
      <c r="A65" s="26"/>
      <c r="B65" s="26"/>
      <c r="D65" s="28"/>
      <c r="E65" s="28"/>
      <c r="F65" s="28"/>
    </row>
    <row r="66" spans="1:6" s="29" customFormat="1">
      <c r="A66" s="26"/>
      <c r="B66" s="26"/>
      <c r="D66" s="28"/>
      <c r="E66" s="28"/>
      <c r="F66" s="28"/>
    </row>
    <row r="67" spans="1:6" s="29" customFormat="1">
      <c r="A67" s="26"/>
      <c r="B67" s="26"/>
      <c r="D67" s="28"/>
      <c r="E67" s="28"/>
      <c r="F67" s="28"/>
    </row>
    <row r="68" spans="1:6" s="29" customFormat="1">
      <c r="A68" s="26"/>
      <c r="B68" s="26"/>
      <c r="D68" s="28"/>
      <c r="E68" s="28"/>
      <c r="F68" s="28"/>
    </row>
    <row r="69" spans="1:6" s="29" customFormat="1">
      <c r="A69" s="26"/>
      <c r="B69" s="26"/>
      <c r="D69" s="28"/>
      <c r="E69" s="28"/>
      <c r="F69" s="28"/>
    </row>
    <row r="70" spans="1:6" s="29" customFormat="1">
      <c r="A70" s="26"/>
      <c r="B70" s="26"/>
      <c r="D70" s="28"/>
      <c r="E70" s="28"/>
      <c r="F70" s="28"/>
    </row>
    <row r="71" spans="1:6" s="29" customFormat="1">
      <c r="A71" s="26"/>
      <c r="B71" s="26"/>
      <c r="D71" s="28"/>
      <c r="E71" s="28"/>
      <c r="F71" s="28"/>
    </row>
    <row r="72" spans="1:6" s="29" customFormat="1">
      <c r="A72" s="26"/>
      <c r="B72" s="26"/>
      <c r="D72" s="28"/>
      <c r="E72" s="28"/>
      <c r="F72" s="28"/>
    </row>
    <row r="73" spans="1:6" s="29" customFormat="1">
      <c r="A73" s="26"/>
      <c r="B73" s="26"/>
      <c r="D73" s="28"/>
      <c r="E73" s="28"/>
      <c r="F73" s="28"/>
    </row>
    <row r="74" spans="1:6" s="29" customFormat="1">
      <c r="A74" s="26"/>
      <c r="B74" s="26"/>
      <c r="D74" s="28"/>
      <c r="E74" s="28"/>
      <c r="F74" s="28"/>
    </row>
    <row r="75" spans="1:6" s="29" customFormat="1">
      <c r="A75" s="26"/>
      <c r="B75" s="26"/>
      <c r="D75" s="28"/>
      <c r="E75" s="28"/>
      <c r="F75" s="28"/>
    </row>
    <row r="76" spans="1:6" s="29" customFormat="1">
      <c r="A76" s="26"/>
      <c r="B76" s="26"/>
      <c r="D76" s="28"/>
      <c r="E76" s="28"/>
      <c r="F76" s="28"/>
    </row>
    <row r="77" spans="1:6" s="29" customFormat="1">
      <c r="A77" s="26"/>
      <c r="B77" s="26"/>
      <c r="D77" s="28"/>
      <c r="E77" s="28"/>
      <c r="F77" s="28"/>
    </row>
    <row r="78" spans="1:6" s="29" customFormat="1">
      <c r="A78" s="26"/>
      <c r="B78" s="26"/>
      <c r="D78" s="28"/>
      <c r="E78" s="28"/>
      <c r="F78" s="28"/>
    </row>
    <row r="79" spans="1:6" s="29" customFormat="1">
      <c r="A79" s="26"/>
      <c r="B79" s="26"/>
      <c r="D79" s="28"/>
      <c r="E79" s="28"/>
      <c r="F79" s="28"/>
    </row>
    <row r="80" spans="1:6" s="29" customFormat="1">
      <c r="A80" s="26"/>
      <c r="B80" s="26"/>
      <c r="D80" s="28"/>
      <c r="E80" s="28"/>
      <c r="F80" s="28"/>
    </row>
    <row r="81" spans="1:6" s="29" customFormat="1">
      <c r="A81" s="26"/>
      <c r="B81" s="26"/>
      <c r="D81" s="28"/>
      <c r="E81" s="28"/>
      <c r="F81" s="28"/>
    </row>
    <row r="82" spans="1:6" s="29" customFormat="1">
      <c r="A82" s="26"/>
      <c r="B82" s="26"/>
      <c r="D82" s="28"/>
      <c r="E82" s="28"/>
      <c r="F82" s="28"/>
    </row>
    <row r="83" spans="1:6" s="29" customFormat="1">
      <c r="A83" s="26"/>
      <c r="B83" s="26"/>
      <c r="D83" s="28"/>
      <c r="E83" s="28"/>
      <c r="F83" s="28"/>
    </row>
    <row r="84" spans="1:6" s="29" customFormat="1">
      <c r="A84" s="26"/>
      <c r="B84" s="26"/>
      <c r="D84" s="28"/>
      <c r="E84" s="28"/>
      <c r="F84" s="28"/>
    </row>
    <row r="85" spans="1:6" s="29" customFormat="1">
      <c r="A85" s="26"/>
      <c r="B85" s="26"/>
      <c r="D85" s="28"/>
      <c r="E85" s="28"/>
      <c r="F85" s="28"/>
    </row>
    <row r="86" spans="1:6" s="29" customFormat="1">
      <c r="A86" s="26"/>
      <c r="B86" s="26"/>
      <c r="D86" s="28"/>
      <c r="E86" s="28"/>
      <c r="F86" s="28"/>
    </row>
    <row r="87" spans="1:6" s="29" customFormat="1">
      <c r="A87" s="26"/>
      <c r="B87" s="26"/>
      <c r="D87" s="28"/>
      <c r="E87" s="28"/>
      <c r="F87" s="28"/>
    </row>
    <row r="88" spans="1:6" s="29" customFormat="1">
      <c r="A88" s="26"/>
      <c r="B88" s="26"/>
      <c r="D88" s="28"/>
      <c r="E88" s="28"/>
      <c r="F88" s="28"/>
    </row>
    <row r="89" spans="1:6" s="29" customFormat="1">
      <c r="A89" s="26"/>
      <c r="B89" s="26"/>
      <c r="D89" s="28"/>
      <c r="E89" s="28"/>
      <c r="F89" s="28"/>
    </row>
    <row r="90" spans="1:6" s="29" customFormat="1">
      <c r="A90" s="26"/>
      <c r="B90" s="26"/>
      <c r="D90" s="28"/>
      <c r="E90" s="28"/>
      <c r="F90" s="28"/>
    </row>
    <row r="91" spans="1:6" s="29" customFormat="1">
      <c r="A91" s="26"/>
      <c r="B91" s="26"/>
      <c r="D91" s="28"/>
      <c r="E91" s="28"/>
      <c r="F91" s="28"/>
    </row>
    <row r="92" spans="1:6" s="29" customFormat="1">
      <c r="A92" s="26"/>
      <c r="B92" s="26"/>
      <c r="D92" s="28"/>
      <c r="E92" s="28"/>
      <c r="F92" s="28"/>
    </row>
    <row r="93" spans="1:6" s="29" customFormat="1">
      <c r="A93" s="26"/>
      <c r="B93" s="26"/>
      <c r="D93" s="28"/>
      <c r="E93" s="28"/>
      <c r="F93" s="28"/>
    </row>
    <row r="94" spans="1:6" s="29" customFormat="1">
      <c r="A94" s="26"/>
      <c r="B94" s="26"/>
      <c r="D94" s="28"/>
      <c r="E94" s="28"/>
      <c r="F94" s="28"/>
    </row>
    <row r="95" spans="1:6" s="29" customFormat="1">
      <c r="A95" s="26"/>
      <c r="B95" s="26"/>
      <c r="D95" s="28"/>
      <c r="E95" s="28"/>
      <c r="F95" s="28"/>
    </row>
    <row r="96" spans="1:6" s="29" customFormat="1">
      <c r="A96" s="26"/>
      <c r="B96" s="26"/>
      <c r="D96" s="28"/>
      <c r="E96" s="28"/>
      <c r="F96" s="28"/>
    </row>
    <row r="97" spans="1:6" s="29" customFormat="1">
      <c r="A97" s="26"/>
      <c r="B97" s="26"/>
      <c r="D97" s="28"/>
      <c r="E97" s="28"/>
      <c r="F97" s="28"/>
    </row>
    <row r="98" spans="1:6" s="29" customFormat="1">
      <c r="A98" s="26"/>
      <c r="B98" s="26"/>
      <c r="D98" s="28"/>
      <c r="E98" s="28"/>
      <c r="F98" s="28"/>
    </row>
    <row r="99" spans="1:6" s="29" customFormat="1">
      <c r="A99" s="26"/>
      <c r="B99" s="26"/>
      <c r="D99" s="28"/>
      <c r="E99" s="28"/>
      <c r="F99" s="28"/>
    </row>
    <row r="100" spans="1:6" s="29" customFormat="1">
      <c r="A100" s="26"/>
      <c r="B100" s="26"/>
      <c r="D100" s="28"/>
      <c r="E100" s="28"/>
      <c r="F100" s="28"/>
    </row>
    <row r="101" spans="1:6" s="29" customFormat="1">
      <c r="A101" s="26"/>
      <c r="B101" s="26"/>
      <c r="D101" s="28"/>
      <c r="E101" s="28"/>
      <c r="F101" s="28"/>
    </row>
    <row r="102" spans="1:6" s="29" customFormat="1">
      <c r="A102" s="26"/>
      <c r="B102" s="26"/>
      <c r="D102" s="28"/>
      <c r="E102" s="28"/>
      <c r="F102" s="28"/>
    </row>
    <row r="103" spans="1:6" s="29" customFormat="1">
      <c r="A103" s="26"/>
      <c r="B103" s="26"/>
      <c r="D103" s="28"/>
      <c r="E103" s="28"/>
      <c r="F103" s="28"/>
    </row>
    <row r="104" spans="1:6" s="29" customFormat="1">
      <c r="A104" s="26"/>
      <c r="B104" s="26"/>
      <c r="D104" s="28"/>
      <c r="E104" s="28"/>
      <c r="F104" s="28"/>
    </row>
    <row r="105" spans="1:6" s="29" customFormat="1">
      <c r="A105" s="26"/>
      <c r="B105" s="26"/>
      <c r="D105" s="28"/>
      <c r="E105" s="28"/>
      <c r="F105" s="28"/>
    </row>
    <row r="106" spans="1:6" s="29" customFormat="1">
      <c r="A106" s="26"/>
      <c r="B106" s="26"/>
      <c r="D106" s="28"/>
      <c r="E106" s="28"/>
      <c r="F106" s="28"/>
    </row>
    <row r="107" spans="1:6" s="29" customFormat="1">
      <c r="A107" s="26"/>
      <c r="B107" s="26"/>
      <c r="D107" s="28"/>
      <c r="E107" s="28"/>
      <c r="F107" s="28"/>
    </row>
    <row r="108" spans="1:6" s="29" customFormat="1">
      <c r="A108" s="26"/>
      <c r="B108" s="26"/>
      <c r="D108" s="28"/>
      <c r="E108" s="28"/>
      <c r="F108" s="28"/>
    </row>
    <row r="109" spans="1:6" s="29" customFormat="1">
      <c r="A109" s="26"/>
      <c r="B109" s="26"/>
      <c r="D109" s="28"/>
      <c r="E109" s="28"/>
      <c r="F109" s="28"/>
    </row>
    <row r="110" spans="1:6" s="29" customFormat="1">
      <c r="A110" s="26"/>
      <c r="B110" s="26"/>
      <c r="D110" s="28"/>
      <c r="E110" s="28"/>
      <c r="F110" s="28"/>
    </row>
    <row r="111" spans="1:6" s="29" customFormat="1">
      <c r="A111" s="26"/>
      <c r="B111" s="26"/>
      <c r="D111" s="28"/>
      <c r="E111" s="28"/>
      <c r="F111" s="28"/>
    </row>
    <row r="112" spans="1:6" s="29" customFormat="1">
      <c r="A112" s="26"/>
      <c r="B112" s="26"/>
      <c r="D112" s="28"/>
      <c r="E112" s="28"/>
      <c r="F112" s="28"/>
    </row>
    <row r="113" spans="1:6" s="29" customFormat="1">
      <c r="A113" s="26"/>
      <c r="B113" s="26"/>
      <c r="D113" s="28"/>
      <c r="E113" s="28"/>
      <c r="F113" s="28"/>
    </row>
    <row r="114" spans="1:6" s="29" customFormat="1">
      <c r="A114" s="26"/>
      <c r="B114" s="26"/>
      <c r="D114" s="28"/>
      <c r="E114" s="28"/>
      <c r="F114" s="28"/>
    </row>
    <row r="115" spans="1:6" s="29" customFormat="1">
      <c r="A115" s="26"/>
      <c r="B115" s="26"/>
      <c r="D115" s="28"/>
      <c r="E115" s="28"/>
      <c r="F115" s="28"/>
    </row>
    <row r="116" spans="1:6" s="29" customFormat="1">
      <c r="A116" s="26"/>
      <c r="B116" s="26"/>
      <c r="D116" s="28"/>
      <c r="E116" s="28"/>
      <c r="F116" s="28"/>
    </row>
    <row r="117" spans="1:6" s="29" customFormat="1">
      <c r="A117" s="26"/>
      <c r="B117" s="26"/>
      <c r="D117" s="28"/>
      <c r="E117" s="28"/>
      <c r="F117" s="28"/>
    </row>
    <row r="118" spans="1:6" s="29" customFormat="1">
      <c r="A118" s="26"/>
      <c r="B118" s="26"/>
      <c r="D118" s="28"/>
      <c r="E118" s="28"/>
      <c r="F118" s="28"/>
    </row>
    <row r="119" spans="1:6" s="29" customFormat="1">
      <c r="A119" s="26"/>
      <c r="B119" s="26"/>
      <c r="D119" s="28"/>
      <c r="E119" s="28"/>
      <c r="F119" s="28"/>
    </row>
    <row r="120" spans="1:6" s="29" customFormat="1">
      <c r="A120" s="26"/>
      <c r="B120" s="26"/>
      <c r="D120" s="28"/>
      <c r="E120" s="28"/>
      <c r="F120" s="28"/>
    </row>
    <row r="121" spans="1:6" s="29" customFormat="1">
      <c r="A121" s="26"/>
      <c r="B121" s="26"/>
      <c r="D121" s="28"/>
      <c r="E121" s="28"/>
      <c r="F121" s="28"/>
    </row>
    <row r="122" spans="1:6" s="29" customFormat="1">
      <c r="A122" s="26"/>
      <c r="B122" s="26"/>
      <c r="D122" s="28"/>
      <c r="E122" s="28"/>
      <c r="F122" s="28"/>
    </row>
    <row r="123" spans="1:6" s="29" customFormat="1">
      <c r="A123" s="26"/>
      <c r="B123" s="26"/>
      <c r="D123" s="28"/>
      <c r="E123" s="28"/>
      <c r="F123" s="28"/>
    </row>
    <row r="124" spans="1:6" s="29" customFormat="1">
      <c r="A124" s="26"/>
      <c r="B124" s="26"/>
      <c r="D124" s="28"/>
      <c r="E124" s="28"/>
      <c r="F124" s="28"/>
    </row>
    <row r="125" spans="1:6" s="29" customFormat="1">
      <c r="A125" s="26"/>
      <c r="B125" s="26"/>
      <c r="D125" s="28"/>
      <c r="E125" s="28"/>
      <c r="F125" s="28"/>
    </row>
    <row r="126" spans="1:6" s="29" customFormat="1">
      <c r="A126" s="26"/>
      <c r="B126" s="26"/>
      <c r="D126" s="28"/>
      <c r="E126" s="28"/>
      <c r="F126" s="28"/>
    </row>
    <row r="127" spans="1:6" s="29" customFormat="1">
      <c r="A127" s="26"/>
      <c r="B127" s="26"/>
      <c r="D127" s="28"/>
      <c r="E127" s="28"/>
      <c r="F127" s="28"/>
    </row>
    <row r="128" spans="1:6" s="29" customFormat="1">
      <c r="A128" s="26"/>
      <c r="B128" s="26"/>
      <c r="D128" s="28"/>
      <c r="E128" s="28"/>
      <c r="F128" s="28"/>
    </row>
    <row r="129" spans="1:6" s="29" customFormat="1">
      <c r="A129" s="26"/>
      <c r="B129" s="26"/>
      <c r="D129" s="28"/>
      <c r="E129" s="28"/>
      <c r="F129" s="28"/>
    </row>
    <row r="130" spans="1:6" s="29" customFormat="1">
      <c r="A130" s="26"/>
      <c r="B130" s="26"/>
      <c r="D130" s="28"/>
      <c r="E130" s="28"/>
      <c r="F130" s="28"/>
    </row>
    <row r="131" spans="1:6" s="29" customFormat="1">
      <c r="A131" s="26"/>
      <c r="B131" s="26"/>
      <c r="D131" s="28"/>
      <c r="E131" s="28"/>
      <c r="F131" s="28"/>
    </row>
    <row r="132" spans="1:6" s="29" customFormat="1">
      <c r="A132" s="26"/>
      <c r="B132" s="26"/>
      <c r="D132" s="28"/>
      <c r="E132" s="28"/>
      <c r="F132" s="28"/>
    </row>
    <row r="133" spans="1:6" s="29" customFormat="1">
      <c r="A133" s="26"/>
      <c r="B133" s="26"/>
      <c r="D133" s="28"/>
      <c r="E133" s="28"/>
      <c r="F133" s="28"/>
    </row>
    <row r="134" spans="1:6" s="29" customFormat="1">
      <c r="A134" s="26"/>
      <c r="B134" s="26"/>
      <c r="D134" s="28"/>
      <c r="E134" s="28"/>
      <c r="F134" s="28"/>
    </row>
    <row r="135" spans="1:6" s="29" customFormat="1">
      <c r="A135" s="26"/>
      <c r="B135" s="26"/>
      <c r="D135" s="28"/>
      <c r="E135" s="28"/>
      <c r="F135" s="28"/>
    </row>
    <row r="136" spans="1:6" s="29" customFormat="1">
      <c r="A136" s="26"/>
      <c r="B136" s="26"/>
      <c r="D136" s="28"/>
      <c r="E136" s="28"/>
      <c r="F136" s="28"/>
    </row>
    <row r="137" spans="1:6" s="29" customFormat="1">
      <c r="A137" s="26"/>
      <c r="B137" s="26"/>
      <c r="D137" s="28"/>
      <c r="E137" s="28"/>
      <c r="F137" s="28"/>
    </row>
    <row r="138" spans="1:6" s="29" customFormat="1">
      <c r="A138" s="26"/>
      <c r="B138" s="26"/>
      <c r="D138" s="28"/>
      <c r="E138" s="28"/>
      <c r="F138" s="28"/>
    </row>
    <row r="139" spans="1:6" s="29" customFormat="1">
      <c r="A139" s="26"/>
      <c r="B139" s="26"/>
      <c r="D139" s="28"/>
      <c r="E139" s="28"/>
      <c r="F139" s="28"/>
    </row>
    <row r="140" spans="1:6" s="29" customFormat="1">
      <c r="A140" s="26"/>
      <c r="B140" s="26"/>
      <c r="D140" s="28"/>
      <c r="E140" s="28"/>
      <c r="F140" s="28"/>
    </row>
    <row r="141" spans="1:6" s="29" customFormat="1">
      <c r="A141" s="26"/>
      <c r="B141" s="26"/>
      <c r="D141" s="28"/>
      <c r="E141" s="28"/>
      <c r="F141" s="28"/>
    </row>
    <row r="142" spans="1:6" s="29" customFormat="1">
      <c r="A142" s="26"/>
      <c r="B142" s="26"/>
      <c r="D142" s="28"/>
      <c r="E142" s="28"/>
      <c r="F142" s="28"/>
    </row>
    <row r="143" spans="1:6" s="29" customFormat="1">
      <c r="A143" s="26"/>
      <c r="B143" s="26"/>
      <c r="D143" s="28"/>
      <c r="E143" s="28"/>
      <c r="F143" s="28"/>
    </row>
    <row r="144" spans="1:6" s="29" customFormat="1">
      <c r="A144" s="26"/>
      <c r="B144" s="26"/>
      <c r="D144" s="28"/>
      <c r="E144" s="28"/>
      <c r="F144" s="28"/>
    </row>
    <row r="145" spans="1:6" s="29" customFormat="1">
      <c r="A145" s="26"/>
      <c r="B145" s="26"/>
      <c r="D145" s="28"/>
      <c r="E145" s="28"/>
      <c r="F145" s="28"/>
    </row>
    <row r="146" spans="1:6" s="29" customFormat="1">
      <c r="A146" s="26"/>
      <c r="B146" s="26"/>
      <c r="D146" s="28"/>
      <c r="E146" s="28"/>
      <c r="F146" s="28"/>
    </row>
    <row r="147" spans="1:6" s="29" customFormat="1">
      <c r="A147" s="26"/>
      <c r="B147" s="26"/>
      <c r="D147" s="28"/>
      <c r="E147" s="28"/>
      <c r="F147" s="28"/>
    </row>
    <row r="148" spans="1:6" s="29" customFormat="1">
      <c r="A148" s="26"/>
      <c r="B148" s="26"/>
      <c r="D148" s="28"/>
      <c r="E148" s="28"/>
      <c r="F148" s="28"/>
    </row>
    <row r="149" spans="1:6" s="29" customFormat="1">
      <c r="A149" s="26"/>
      <c r="B149" s="26"/>
      <c r="D149" s="28"/>
      <c r="E149" s="28"/>
      <c r="F149" s="28"/>
    </row>
    <row r="150" spans="1:6" s="29" customFormat="1">
      <c r="A150" s="26"/>
      <c r="B150" s="26"/>
      <c r="D150" s="28"/>
      <c r="E150" s="28"/>
      <c r="F150" s="28"/>
    </row>
    <row r="151" spans="1:6" s="29" customFormat="1">
      <c r="A151" s="26"/>
      <c r="B151" s="26"/>
      <c r="D151" s="28"/>
      <c r="E151" s="28"/>
      <c r="F151" s="28"/>
    </row>
    <row r="152" spans="1:6" s="29" customFormat="1">
      <c r="A152" s="26"/>
      <c r="B152" s="26"/>
      <c r="D152" s="28"/>
      <c r="E152" s="28"/>
      <c r="F152" s="28"/>
    </row>
    <row r="153" spans="1:6" s="29" customFormat="1">
      <c r="A153" s="26"/>
      <c r="B153" s="26"/>
      <c r="D153" s="28"/>
      <c r="E153" s="28"/>
      <c r="F153" s="28"/>
    </row>
    <row r="154" spans="1:6" s="29" customFormat="1">
      <c r="A154" s="26"/>
      <c r="B154" s="26"/>
      <c r="D154" s="28"/>
      <c r="E154" s="28"/>
      <c r="F154" s="28"/>
    </row>
    <row r="155" spans="1:6" s="29" customFormat="1">
      <c r="A155" s="26"/>
      <c r="B155" s="26"/>
      <c r="D155" s="28"/>
      <c r="E155" s="28"/>
      <c r="F155" s="28"/>
    </row>
    <row r="156" spans="1:6" s="29" customFormat="1">
      <c r="A156" s="26"/>
      <c r="B156" s="26"/>
      <c r="D156" s="28"/>
      <c r="E156" s="28"/>
      <c r="F156" s="28"/>
    </row>
    <row r="157" spans="1:6" s="29" customFormat="1">
      <c r="A157" s="26"/>
      <c r="B157" s="26"/>
      <c r="D157" s="28"/>
      <c r="E157" s="28"/>
      <c r="F157" s="28"/>
    </row>
    <row r="158" spans="1:6" s="29" customFormat="1">
      <c r="A158" s="26"/>
      <c r="B158" s="26"/>
      <c r="D158" s="28"/>
      <c r="E158" s="28"/>
      <c r="F158" s="28"/>
    </row>
    <row r="159" spans="1:6" s="29" customFormat="1">
      <c r="A159" s="26"/>
      <c r="B159" s="26"/>
      <c r="D159" s="28"/>
      <c r="E159" s="28"/>
      <c r="F159" s="28"/>
    </row>
    <row r="160" spans="1:6" s="29" customFormat="1">
      <c r="A160" s="26"/>
      <c r="B160" s="26"/>
      <c r="D160" s="28"/>
      <c r="E160" s="28"/>
      <c r="F160" s="28"/>
    </row>
    <row r="161" spans="1:6" s="29" customFormat="1">
      <c r="A161" s="26"/>
      <c r="B161" s="26"/>
      <c r="D161" s="28"/>
      <c r="E161" s="28"/>
      <c r="F161" s="28"/>
    </row>
    <row r="162" spans="1:6" s="29" customFormat="1">
      <c r="A162" s="26"/>
      <c r="B162" s="26"/>
      <c r="D162" s="28"/>
      <c r="E162" s="28"/>
      <c r="F162" s="28"/>
    </row>
    <row r="163" spans="1:6" s="29" customFormat="1">
      <c r="A163" s="26"/>
      <c r="B163" s="26"/>
      <c r="D163" s="28"/>
      <c r="E163" s="28"/>
      <c r="F163" s="28"/>
    </row>
    <row r="164" spans="1:6" s="29" customFormat="1">
      <c r="A164" s="26"/>
      <c r="B164" s="26"/>
      <c r="D164" s="28"/>
      <c r="E164" s="28"/>
      <c r="F164" s="28"/>
    </row>
    <row r="165" spans="1:6" s="29" customFormat="1">
      <c r="A165" s="26"/>
      <c r="B165" s="26"/>
      <c r="D165" s="28"/>
      <c r="E165" s="28"/>
      <c r="F165" s="28"/>
    </row>
    <row r="166" spans="1:6" s="29" customFormat="1">
      <c r="A166" s="26"/>
      <c r="B166" s="26"/>
      <c r="D166" s="28"/>
      <c r="E166" s="28"/>
      <c r="F166" s="28"/>
    </row>
    <row r="167" spans="1:6" s="29" customFormat="1">
      <c r="A167" s="26"/>
      <c r="B167" s="26"/>
      <c r="D167" s="28"/>
      <c r="E167" s="28"/>
      <c r="F167" s="28"/>
    </row>
    <row r="168" spans="1:6" s="29" customFormat="1">
      <c r="A168" s="26"/>
      <c r="B168" s="26"/>
      <c r="D168" s="28"/>
      <c r="E168" s="28"/>
      <c r="F168" s="28"/>
    </row>
    <row r="169" spans="1:6" s="29" customFormat="1">
      <c r="A169" s="26"/>
      <c r="B169" s="26"/>
      <c r="D169" s="28"/>
      <c r="E169" s="28"/>
      <c r="F169" s="28"/>
    </row>
    <row r="170" spans="1:6" s="29" customFormat="1">
      <c r="A170" s="26"/>
      <c r="B170" s="26"/>
      <c r="D170" s="28"/>
      <c r="E170" s="28"/>
      <c r="F170" s="28"/>
    </row>
    <row r="171" spans="1:6" s="29" customFormat="1">
      <c r="A171" s="26"/>
      <c r="B171" s="26"/>
      <c r="D171" s="28"/>
      <c r="E171" s="28"/>
      <c r="F171" s="28"/>
    </row>
    <row r="172" spans="1:6" s="29" customFormat="1">
      <c r="A172" s="26"/>
      <c r="B172" s="26"/>
      <c r="D172" s="28"/>
      <c r="E172" s="28"/>
      <c r="F172" s="28"/>
    </row>
    <row r="173" spans="1:6" s="29" customFormat="1">
      <c r="A173" s="26"/>
      <c r="B173" s="26"/>
      <c r="D173" s="28"/>
      <c r="E173" s="28"/>
      <c r="F173" s="28"/>
    </row>
    <row r="174" spans="1:6" s="29" customFormat="1">
      <c r="A174" s="26"/>
      <c r="B174" s="26"/>
      <c r="D174" s="28"/>
      <c r="E174" s="28"/>
      <c r="F174" s="28"/>
    </row>
    <row r="175" spans="1:6" s="29" customFormat="1">
      <c r="A175" s="26"/>
      <c r="B175" s="26"/>
      <c r="D175" s="28"/>
      <c r="E175" s="28"/>
      <c r="F175" s="28"/>
    </row>
    <row r="176" spans="1:6" s="29" customFormat="1">
      <c r="A176" s="26"/>
      <c r="B176" s="26"/>
      <c r="D176" s="28"/>
      <c r="E176" s="28"/>
      <c r="F176" s="28"/>
    </row>
    <row r="177" spans="1:6" s="29" customFormat="1">
      <c r="A177" s="26"/>
      <c r="B177" s="26"/>
      <c r="D177" s="28"/>
      <c r="E177" s="28"/>
      <c r="F177" s="28"/>
    </row>
    <row r="178" spans="1:6" s="29" customFormat="1">
      <c r="A178" s="26"/>
      <c r="B178" s="26"/>
      <c r="D178" s="28"/>
      <c r="E178" s="28"/>
      <c r="F178" s="28"/>
    </row>
    <row r="179" spans="1:6" s="29" customFormat="1">
      <c r="A179" s="26"/>
      <c r="B179" s="26"/>
      <c r="D179" s="28"/>
      <c r="E179" s="28"/>
      <c r="F179" s="28"/>
    </row>
    <row r="180" spans="1:6" s="29" customFormat="1">
      <c r="A180" s="26"/>
      <c r="B180" s="26"/>
      <c r="D180" s="28"/>
      <c r="E180" s="28"/>
      <c r="F180" s="28"/>
    </row>
    <row r="181" spans="1:6" s="29" customFormat="1">
      <c r="A181" s="26"/>
      <c r="B181" s="26"/>
      <c r="D181" s="28"/>
      <c r="E181" s="28"/>
      <c r="F181" s="28"/>
    </row>
    <row r="182" spans="1:6" s="29" customFormat="1">
      <c r="A182" s="26"/>
      <c r="B182" s="26"/>
      <c r="D182" s="28"/>
      <c r="E182" s="28"/>
      <c r="F182" s="28"/>
    </row>
    <row r="183" spans="1:6" s="29" customFormat="1">
      <c r="A183" s="26"/>
      <c r="B183" s="26"/>
      <c r="D183" s="28"/>
      <c r="E183" s="28"/>
      <c r="F183" s="28"/>
    </row>
    <row r="184" spans="1:6" s="29" customFormat="1">
      <c r="A184" s="26"/>
      <c r="B184" s="26"/>
      <c r="D184" s="28"/>
      <c r="E184" s="28"/>
      <c r="F184" s="28"/>
    </row>
    <row r="185" spans="1:6" s="29" customFormat="1">
      <c r="A185" s="26"/>
      <c r="B185" s="26"/>
      <c r="D185" s="28"/>
      <c r="E185" s="28"/>
      <c r="F185" s="28"/>
    </row>
    <row r="186" spans="1:6" s="29" customFormat="1">
      <c r="A186" s="26"/>
      <c r="B186" s="26"/>
      <c r="D186" s="28"/>
      <c r="E186" s="28"/>
      <c r="F186" s="28"/>
    </row>
    <row r="187" spans="1:6" s="29" customFormat="1">
      <c r="A187" s="26"/>
      <c r="B187" s="26"/>
      <c r="D187" s="28"/>
      <c r="E187" s="28"/>
      <c r="F187" s="28"/>
    </row>
    <row r="188" spans="1:6" s="29" customFormat="1">
      <c r="A188" s="26"/>
      <c r="B188" s="26"/>
      <c r="D188" s="28"/>
      <c r="E188" s="28"/>
      <c r="F188" s="28"/>
    </row>
    <row r="189" spans="1:6" s="26" customFormat="1">
      <c r="D189" s="23"/>
      <c r="E189" s="23"/>
      <c r="F189" s="23"/>
    </row>
    <row r="190" spans="1:6" s="26" customFormat="1">
      <c r="D190" s="23"/>
      <c r="E190" s="23"/>
      <c r="F190" s="23"/>
    </row>
    <row r="191" spans="1:6" s="26" customFormat="1">
      <c r="D191" s="23"/>
      <c r="E191" s="23"/>
      <c r="F191" s="23"/>
    </row>
    <row r="192" spans="1:6" s="26" customFormat="1">
      <c r="D192" s="23"/>
      <c r="E192" s="23"/>
      <c r="F192" s="23"/>
    </row>
    <row r="193" spans="4:6" s="26" customFormat="1">
      <c r="D193" s="23"/>
      <c r="E193" s="23"/>
      <c r="F193" s="23"/>
    </row>
    <row r="194" spans="4:6" s="26" customFormat="1">
      <c r="D194" s="23"/>
      <c r="E194" s="23"/>
      <c r="F194" s="23"/>
    </row>
    <row r="195" spans="4:6" s="26" customFormat="1">
      <c r="D195" s="23"/>
      <c r="E195" s="23"/>
      <c r="F195" s="23"/>
    </row>
    <row r="196" spans="4:6" s="26" customFormat="1">
      <c r="D196" s="23"/>
      <c r="E196" s="23"/>
      <c r="F196" s="23"/>
    </row>
    <row r="197" spans="4:6" s="26" customFormat="1">
      <c r="D197" s="23"/>
      <c r="E197" s="23"/>
      <c r="F197" s="23"/>
    </row>
    <row r="198" spans="4:6" s="26" customFormat="1">
      <c r="D198" s="23"/>
      <c r="E198" s="23"/>
      <c r="F198" s="23"/>
    </row>
    <row r="199" spans="4:6" s="26" customFormat="1">
      <c r="D199" s="23"/>
      <c r="E199" s="23"/>
      <c r="F199" s="23"/>
    </row>
    <row r="200" spans="4:6" s="26" customFormat="1">
      <c r="D200" s="23"/>
      <c r="E200" s="23"/>
      <c r="F200" s="23"/>
    </row>
    <row r="201" spans="4:6" s="26" customFormat="1">
      <c r="D201" s="23"/>
      <c r="E201" s="23"/>
      <c r="F201" s="23"/>
    </row>
    <row r="202" spans="4:6" s="26" customFormat="1">
      <c r="D202" s="23"/>
      <c r="E202" s="23"/>
      <c r="F202" s="23"/>
    </row>
    <row r="203" spans="4:6" s="26" customFormat="1">
      <c r="D203" s="23"/>
      <c r="E203" s="23"/>
      <c r="F203" s="23"/>
    </row>
    <row r="204" spans="4:6" s="26" customFormat="1">
      <c r="D204" s="23"/>
      <c r="E204" s="23"/>
      <c r="F204" s="23"/>
    </row>
    <row r="205" spans="4:6" s="26" customFormat="1">
      <c r="D205" s="23"/>
      <c r="E205" s="23"/>
      <c r="F205" s="23"/>
    </row>
    <row r="206" spans="4:6" s="26" customFormat="1">
      <c r="D206" s="23"/>
      <c r="E206" s="23"/>
      <c r="F206" s="23"/>
    </row>
    <row r="207" spans="4:6" s="26" customFormat="1">
      <c r="D207" s="23"/>
      <c r="E207" s="23"/>
      <c r="F207" s="23"/>
    </row>
    <row r="208" spans="4:6" s="26" customFormat="1">
      <c r="D208" s="23"/>
      <c r="E208" s="23"/>
      <c r="F208" s="23"/>
    </row>
    <row r="209" spans="4:6" s="26" customFormat="1">
      <c r="D209" s="23"/>
      <c r="E209" s="23"/>
      <c r="F209" s="23"/>
    </row>
    <row r="210" spans="4:6" s="26" customFormat="1">
      <c r="D210" s="23"/>
      <c r="E210" s="23"/>
      <c r="F210" s="23"/>
    </row>
    <row r="211" spans="4:6" s="26" customFormat="1">
      <c r="D211" s="23"/>
      <c r="E211" s="23"/>
      <c r="F211" s="23"/>
    </row>
    <row r="212" spans="4:6" s="26" customFormat="1">
      <c r="D212" s="23"/>
      <c r="E212" s="23"/>
      <c r="F212" s="23"/>
    </row>
    <row r="213" spans="4:6" s="26" customFormat="1">
      <c r="D213" s="23"/>
      <c r="E213" s="23"/>
      <c r="F213" s="23"/>
    </row>
    <row r="214" spans="4:6" s="26" customFormat="1">
      <c r="D214" s="23"/>
      <c r="E214" s="23"/>
      <c r="F214" s="23"/>
    </row>
    <row r="215" spans="4:6" s="26" customFormat="1">
      <c r="D215" s="23"/>
      <c r="E215" s="23"/>
      <c r="F215" s="23"/>
    </row>
    <row r="216" spans="4:6" s="26" customFormat="1">
      <c r="D216" s="23"/>
      <c r="E216" s="23"/>
      <c r="F216" s="23"/>
    </row>
    <row r="217" spans="4:6" s="26" customFormat="1">
      <c r="D217" s="23"/>
      <c r="E217" s="23"/>
      <c r="F217" s="23"/>
    </row>
    <row r="218" spans="4:6" s="26" customFormat="1">
      <c r="D218" s="23"/>
      <c r="E218" s="23"/>
      <c r="F218" s="23"/>
    </row>
    <row r="219" spans="4:6" s="26" customFormat="1">
      <c r="D219" s="23"/>
      <c r="E219" s="23"/>
      <c r="F219" s="23"/>
    </row>
    <row r="220" spans="4:6" s="26" customFormat="1">
      <c r="D220" s="23"/>
      <c r="E220" s="23"/>
      <c r="F220" s="23"/>
    </row>
    <row r="221" spans="4:6" s="26" customFormat="1">
      <c r="D221" s="23"/>
      <c r="E221" s="23"/>
      <c r="F221" s="23"/>
    </row>
    <row r="222" spans="4:6" s="26" customFormat="1">
      <c r="D222" s="23"/>
      <c r="E222" s="23"/>
      <c r="F222" s="23"/>
    </row>
    <row r="223" spans="4:6" s="26" customFormat="1">
      <c r="D223" s="23"/>
      <c r="E223" s="23"/>
      <c r="F223" s="23"/>
    </row>
    <row r="224" spans="4:6" s="26" customFormat="1">
      <c r="D224" s="23"/>
      <c r="E224" s="23"/>
      <c r="F224" s="23"/>
    </row>
    <row r="225" spans="4:6" s="26" customFormat="1">
      <c r="D225" s="23"/>
      <c r="E225" s="23"/>
      <c r="F225" s="23"/>
    </row>
    <row r="226" spans="4:6" s="26" customFormat="1">
      <c r="D226" s="23"/>
      <c r="E226" s="23"/>
      <c r="F226" s="23"/>
    </row>
    <row r="227" spans="4:6" s="26" customFormat="1">
      <c r="D227" s="23"/>
      <c r="E227" s="23"/>
      <c r="F227" s="23"/>
    </row>
    <row r="228" spans="4:6" s="26" customFormat="1">
      <c r="D228" s="23"/>
      <c r="E228" s="23"/>
      <c r="F228" s="23"/>
    </row>
    <row r="229" spans="4:6" s="26" customFormat="1">
      <c r="D229" s="23"/>
      <c r="E229" s="23"/>
      <c r="F229" s="23"/>
    </row>
    <row r="230" spans="4:6" s="26" customFormat="1">
      <c r="D230" s="23"/>
      <c r="E230" s="23"/>
      <c r="F230" s="23"/>
    </row>
    <row r="231" spans="4:6" s="26" customFormat="1">
      <c r="D231" s="23"/>
      <c r="E231" s="23"/>
      <c r="F231" s="23"/>
    </row>
  </sheetData>
  <mergeCells count="2">
    <mergeCell ref="A2:C2"/>
    <mergeCell ref="B13:B15"/>
  </mergeCells>
  <conditionalFormatting sqref="A6:E6">
    <cfRule type="expression" dxfId="14" priority="15">
      <formula>$C$6&lt;&gt;$B$6</formula>
    </cfRule>
    <cfRule type="expression" dxfId="13" priority="14">
      <formula>$C$6="NO VA HOY"</formula>
    </cfRule>
    <cfRule type="expression" dxfId="12" priority="13">
      <formula>$B$6=0</formula>
    </cfRule>
  </conditionalFormatting>
  <conditionalFormatting sqref="A7:E7">
    <cfRule type="expression" dxfId="11" priority="12">
      <formula>$C$7&lt;&gt;$B$7</formula>
    </cfRule>
    <cfRule type="expression" dxfId="10" priority="11">
      <formula>$C$7="NO VA HOY"</formula>
    </cfRule>
    <cfRule type="expression" dxfId="9" priority="10">
      <formula>$B$7=0</formula>
    </cfRule>
  </conditionalFormatting>
  <conditionalFormatting sqref="A8:E8">
    <cfRule type="expression" dxfId="8" priority="9">
      <formula>$C$8&lt;&gt;$B$8</formula>
    </cfRule>
    <cfRule type="expression" dxfId="7" priority="8">
      <formula>$C$8="NO VA HOY"</formula>
    </cfRule>
    <cfRule type="expression" dxfId="6" priority="7">
      <formula>$B$8=0</formula>
    </cfRule>
  </conditionalFormatting>
  <conditionalFormatting sqref="A9:E9">
    <cfRule type="expression" dxfId="5" priority="6">
      <formula>$C$9&lt;&gt;$B$9</formula>
    </cfRule>
    <cfRule type="expression" dxfId="4" priority="5">
      <formula>$C$9="NO VA HOY"</formula>
    </cfRule>
    <cfRule type="expression" dxfId="3" priority="4">
      <formula>$B$9=0</formula>
    </cfRule>
  </conditionalFormatting>
  <conditionalFormatting sqref="A10:E10">
    <cfRule type="expression" dxfId="2" priority="3">
      <formula>$C$10&lt;&gt;$B$10</formula>
    </cfRule>
    <cfRule type="expression" dxfId="1" priority="2">
      <formula>$C$10="NO VA HOY"</formula>
    </cfRule>
    <cfRule type="expression" dxfId="0" priority="1">
      <formula>$B$10=0</formula>
    </cfRule>
  </conditionalFormatting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Censo</vt:lpstr>
      <vt:lpstr>002A</vt:lpstr>
      <vt:lpstr>003B</vt:lpstr>
      <vt:lpstr>004A</vt:lpstr>
      <vt:lpstr>004B</vt:lpstr>
      <vt:lpstr>004D</vt:lpstr>
      <vt:lpstr>005A</vt:lpstr>
      <vt:lpstr>005B</vt:lpstr>
      <vt:lpstr>005D</vt:lpstr>
      <vt:lpstr>006A</vt:lpstr>
      <vt:lpstr>006B</vt:lpstr>
      <vt:lpstr>006C</vt:lpstr>
      <vt:lpstr>006D</vt:lpstr>
      <vt:lpstr>011A</vt:lpstr>
      <vt:lpstr>011B</vt:lpstr>
      <vt:lpstr>012A</vt:lpstr>
      <vt:lpstr>012B</vt:lpstr>
      <vt:lpstr>013A</vt:lpstr>
      <vt:lpstr>014A</vt:lpstr>
      <vt:lpstr>015A</vt:lpstr>
      <vt:lpstr>016A</vt:lpstr>
      <vt:lpstr>021A</vt:lpstr>
      <vt:lpstr>'002A'!Criteria</vt:lpstr>
      <vt:lpstr>'002A'!Extract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CRISTINA</dc:creator>
  <cp:lastModifiedBy>UDUYT</cp:lastModifiedBy>
  <cp:lastPrinted>2014-04-12T16:48:52Z</cp:lastPrinted>
  <dcterms:created xsi:type="dcterms:W3CDTF">2014-03-07T08:39:09Z</dcterms:created>
  <dcterms:modified xsi:type="dcterms:W3CDTF">2014-04-12T16:48:58Z</dcterms:modified>
</cp:coreProperties>
</file>